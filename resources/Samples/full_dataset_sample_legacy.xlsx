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dir\DeerHide\sources\jira-toolkit\resources\Samples\"/>
    </mc:Choice>
  </mc:AlternateContent>
  <xr:revisionPtr revIDLastSave="0" documentId="13_ncr:1_{5EA60565-1B81-4565-B781-3298FEEF3946}" xr6:coauthVersionLast="47" xr6:coauthVersionMax="47" xr10:uidLastSave="{00000000-0000-0000-0000-000000000000}"/>
  <bookViews>
    <workbookView xWindow="4035" yWindow="2625" windowWidth="29685" windowHeight="23445" xr2:uid="{1FA076D1-0294-4A97-AB8C-3ADE2BC9CEA1}"/>
  </bookViews>
  <sheets>
    <sheet name="Dataset" sheetId="1" r:id="rId1"/>
    <sheet name="Config" sheetId="2" r:id="rId2"/>
  </sheets>
  <definedNames>
    <definedName name="cfg_labels_ft_label">Config!$R$6</definedName>
    <definedName name="cfg_labels_ft_name">Config!$R$6</definedName>
    <definedName name="cfg_labels_imported">Config!$R$5</definedName>
    <definedName name="cfg_projectKey">Config!$R$4</definedName>
    <definedName name="cfg_type_comment">Config!$M$4</definedName>
    <definedName name="cfg_type_note">Config!$M$6</definedName>
    <definedName name="cfg_type_skip">Config!$M$5</definedName>
    <definedName name="cfg_type_workitem">Config!$M$7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AK4" i="1" a="1"/>
  <c r="AK5" i="1" a="1"/>
  <c r="AI5" i="1" s="1"/>
  <c r="AK6" i="1" a="1"/>
  <c r="AI6" i="1" s="1"/>
  <c r="AK7" i="1" a="1"/>
  <c r="AK8" i="1" a="1"/>
  <c r="AI8" i="1" s="1"/>
  <c r="AK9" i="1" a="1"/>
  <c r="AI9" i="1" s="1"/>
  <c r="AK10" i="1" a="1"/>
  <c r="AI10" i="1" s="1"/>
  <c r="AK11" i="1" a="1"/>
  <c r="AI11" i="1" s="1"/>
  <c r="AK12" i="1" a="1"/>
  <c r="AI12" i="1" s="1"/>
  <c r="AK13" i="1" a="1"/>
  <c r="AI13" i="1" s="1"/>
  <c r="AK14" i="1" a="1"/>
  <c r="AI14" i="1" s="1"/>
  <c r="AK15" i="1" a="1"/>
  <c r="AK16" i="1" a="1"/>
  <c r="AK17" i="1" a="1"/>
  <c r="AK18" i="1" a="1"/>
  <c r="AI18" i="1" s="1"/>
  <c r="AK19" i="1" a="1"/>
  <c r="AI19" i="1" s="1"/>
  <c r="AK20" i="1" a="1"/>
  <c r="AI20" i="1" s="1"/>
  <c r="AK21" i="1" a="1"/>
  <c r="AI21" i="1" s="1"/>
  <c r="AK22" i="1" a="1"/>
  <c r="AI22" i="1" s="1"/>
  <c r="AK23" i="1" a="1"/>
  <c r="AI23" i="1" s="1"/>
  <c r="AK24" i="1" a="1"/>
  <c r="AI24" i="1" s="1"/>
  <c r="AK25" i="1" a="1"/>
  <c r="AI25" i="1" s="1"/>
  <c r="AK26" i="1" a="1"/>
  <c r="AI26" i="1" s="1"/>
  <c r="AK27" i="1" a="1"/>
  <c r="AI27" i="1" s="1"/>
  <c r="AK28" i="1" a="1"/>
  <c r="AI28" i="1" s="1"/>
  <c r="AK29" i="1" a="1"/>
  <c r="AK30" i="1" a="1"/>
  <c r="AK31" i="1" a="1"/>
  <c r="AK32" i="1" a="1"/>
  <c r="AI32" i="1" s="1"/>
  <c r="AK33" i="1" a="1"/>
  <c r="AI33" i="1" s="1"/>
  <c r="AK34" i="1" a="1"/>
  <c r="AI34" i="1" s="1"/>
  <c r="AK35" i="1" a="1"/>
  <c r="AI35" i="1" s="1"/>
  <c r="AK36" i="1" a="1"/>
  <c r="AK37" i="1" a="1"/>
  <c r="AK38" i="1" a="1"/>
  <c r="AI38" i="1" s="1"/>
  <c r="AK39" i="1" a="1"/>
  <c r="AI39" i="1" s="1"/>
  <c r="AK40" i="1" a="1"/>
  <c r="AK41" i="1" a="1"/>
  <c r="AI41" i="1" s="1"/>
  <c r="AK42" i="1" a="1"/>
  <c r="P3" i="1"/>
  <c r="AK3" i="1" a="1"/>
  <c r="AK2" i="1" a="1"/>
  <c r="P2" i="1"/>
  <c r="Z4" i="2" a="1"/>
  <c r="AE42" i="1" l="1"/>
  <c r="AI42" i="1"/>
  <c r="AG16" i="1"/>
  <c r="AI16" i="1"/>
  <c r="AG40" i="1"/>
  <c r="AI40" i="1"/>
  <c r="AE40" i="1"/>
  <c r="AH4" i="1"/>
  <c r="AI4" i="1"/>
  <c r="AJ36" i="1" a="1"/>
  <c r="AI36" i="1"/>
  <c r="AF31" i="1"/>
  <c r="AI31" i="1"/>
  <c r="AG17" i="1"/>
  <c r="AI17" i="1"/>
  <c r="AF37" i="1"/>
  <c r="AI37" i="1"/>
  <c r="AF15" i="1"/>
  <c r="AI15" i="1"/>
  <c r="AJ29" i="1" a="1"/>
  <c r="AI29" i="1"/>
  <c r="AG30" i="1"/>
  <c r="AI30" i="1"/>
  <c r="AG3" i="1"/>
  <c r="AI3" i="1"/>
  <c r="AF7" i="1"/>
  <c r="AI7" i="1"/>
  <c r="AE2" i="1"/>
  <c r="AI2" i="1"/>
  <c r="AJ28" i="1" a="1"/>
  <c r="AF14" i="1"/>
  <c r="AH14" i="1"/>
  <c r="AG14" i="1"/>
  <c r="AE14" i="1"/>
  <c r="AJ6" i="1" a="1"/>
  <c r="AF6" i="1"/>
  <c r="AG41" i="1"/>
  <c r="AE41" i="1"/>
  <c r="AE23" i="1"/>
  <c r="AF23" i="1"/>
  <c r="AH39" i="1"/>
  <c r="AE39" i="1"/>
  <c r="AG39" i="1"/>
  <c r="AH37" i="1"/>
  <c r="AH35" i="1"/>
  <c r="AH36" i="1"/>
  <c r="AF4" i="1"/>
  <c r="AE5" i="1"/>
  <c r="AF5" i="1"/>
  <c r="AJ12" i="1" a="1"/>
  <c r="AE12" i="1"/>
  <c r="AG12" i="1"/>
  <c r="AH12" i="1"/>
  <c r="AH38" i="1"/>
  <c r="AG38" i="1"/>
  <c r="AE38" i="1"/>
  <c r="AH27" i="1"/>
  <c r="AF27" i="1"/>
  <c r="AJ24" i="1" a="1"/>
  <c r="AH24" i="1"/>
  <c r="AF24" i="1"/>
  <c r="AH11" i="1"/>
  <c r="AE11" i="1"/>
  <c r="AG11" i="1"/>
  <c r="AJ11" i="1" a="1"/>
  <c r="AH26" i="1"/>
  <c r="AF26" i="1"/>
  <c r="AH25" i="1"/>
  <c r="AF25" i="1"/>
  <c r="AE37" i="1"/>
  <c r="AE36" i="1"/>
  <c r="AE16" i="1"/>
  <c r="AE15" i="1"/>
  <c r="AF30" i="1"/>
  <c r="AF29" i="1"/>
  <c r="AG37" i="1"/>
  <c r="AJ35" i="1" a="1"/>
  <c r="AE35" i="1"/>
  <c r="AJ23" i="1" a="1"/>
  <c r="AG35" i="1"/>
  <c r="AE17" i="1"/>
  <c r="AG23" i="1"/>
  <c r="AG15" i="1"/>
  <c r="AF28" i="1"/>
  <c r="AH23" i="1"/>
  <c r="AG36" i="1"/>
  <c r="AE22" i="1"/>
  <c r="AG22" i="1"/>
  <c r="AH22" i="1"/>
  <c r="AJ22" i="1" a="1"/>
  <c r="AF22" i="1"/>
  <c r="AE21" i="1"/>
  <c r="AF21" i="1"/>
  <c r="AH21" i="1"/>
  <c r="AG21" i="1"/>
  <c r="AJ21" i="1" a="1"/>
  <c r="AF9" i="1"/>
  <c r="AH9" i="1"/>
  <c r="AG9" i="1"/>
  <c r="AJ9" i="1" a="1"/>
  <c r="AE9" i="1"/>
  <c r="AE8" i="1"/>
  <c r="AF8" i="1"/>
  <c r="AJ8" i="1" a="1"/>
  <c r="AH8" i="1"/>
  <c r="AG8" i="1"/>
  <c r="AF33" i="1"/>
  <c r="AJ33" i="1" a="1"/>
  <c r="AE33" i="1"/>
  <c r="AG33" i="1"/>
  <c r="AH33" i="1"/>
  <c r="AH32" i="1"/>
  <c r="AJ32" i="1" a="1"/>
  <c r="AF32" i="1"/>
  <c r="AG32" i="1"/>
  <c r="AE32" i="1"/>
  <c r="AH10" i="1"/>
  <c r="AF10" i="1"/>
  <c r="AE10" i="1"/>
  <c r="AG10" i="1"/>
  <c r="AJ10" i="1" a="1"/>
  <c r="AF13" i="1"/>
  <c r="AJ13" i="1" a="1"/>
  <c r="AE13" i="1"/>
  <c r="AH13" i="1"/>
  <c r="AG13" i="1"/>
  <c r="AJ20" i="1" a="1"/>
  <c r="AG20" i="1"/>
  <c r="AH20" i="1"/>
  <c r="AF20" i="1"/>
  <c r="AE20" i="1"/>
  <c r="AE34" i="1"/>
  <c r="AJ34" i="1" a="1"/>
  <c r="AF34" i="1"/>
  <c r="AH34" i="1"/>
  <c r="AG34" i="1"/>
  <c r="AH41" i="1"/>
  <c r="AH15" i="1"/>
  <c r="AF39" i="1"/>
  <c r="AJ39" i="1" a="1"/>
  <c r="AE29" i="1"/>
  <c r="AH7" i="1"/>
  <c r="AE4" i="1"/>
  <c r="AH19" i="1"/>
  <c r="AH18" i="1"/>
  <c r="AH16" i="1"/>
  <c r="AG28" i="1"/>
  <c r="AF42" i="1"/>
  <c r="AG26" i="1"/>
  <c r="AJ16" i="1" a="1"/>
  <c r="AG25" i="1"/>
  <c r="AE30" i="1"/>
  <c r="AJ15" i="1" a="1"/>
  <c r="AF38" i="1"/>
  <c r="AJ38" i="1" a="1"/>
  <c r="AJ26" i="1" a="1"/>
  <c r="AJ14" i="1" a="1"/>
  <c r="AH30" i="1"/>
  <c r="AH6" i="1"/>
  <c r="AF36" i="1"/>
  <c r="AF12" i="1"/>
  <c r="AE27" i="1"/>
  <c r="AJ31" i="1" a="1"/>
  <c r="AG29" i="1"/>
  <c r="AG5" i="1"/>
  <c r="AJ40" i="1" a="1"/>
  <c r="AF16" i="1"/>
  <c r="AE6" i="1"/>
  <c r="AJ27" i="1" a="1"/>
  <c r="AE28" i="1"/>
  <c r="AH29" i="1"/>
  <c r="AH5" i="1"/>
  <c r="AF35" i="1"/>
  <c r="AF11" i="1"/>
  <c r="AE26" i="1"/>
  <c r="AE19" i="1"/>
  <c r="AE18" i="1"/>
  <c r="AH42" i="1"/>
  <c r="AH40" i="1"/>
  <c r="AG31" i="1"/>
  <c r="AJ30" i="1" a="1"/>
  <c r="AG4" i="1"/>
  <c r="AJ5" i="1" a="1"/>
  <c r="AG27" i="1"/>
  <c r="AJ4" i="1" a="1"/>
  <c r="AF40" i="1"/>
  <c r="AE7" i="1"/>
  <c r="AH31" i="1"/>
  <c r="AJ37" i="1" a="1"/>
  <c r="AJ25" i="1" a="1"/>
  <c r="AH28" i="1"/>
  <c r="AG19" i="1"/>
  <c r="AE25" i="1"/>
  <c r="AJ19" i="1" a="1"/>
  <c r="AG6" i="1"/>
  <c r="AJ42" i="1" a="1"/>
  <c r="AF19" i="1"/>
  <c r="AF18" i="1"/>
  <c r="AF41" i="1"/>
  <c r="AG24" i="1"/>
  <c r="AG42" i="1"/>
  <c r="AG18" i="1"/>
  <c r="AE24" i="1"/>
  <c r="AH17" i="1"/>
  <c r="AJ7" i="1" a="1"/>
  <c r="AG7" i="1"/>
  <c r="AJ41" i="1" a="1"/>
  <c r="AJ17" i="1" a="1"/>
  <c r="AF17" i="1"/>
  <c r="AJ18" i="1" a="1"/>
  <c r="AE31" i="1"/>
  <c r="AF3" i="1"/>
  <c r="AF2" i="1"/>
  <c r="AG2" i="1"/>
  <c r="AH3" i="1"/>
  <c r="AJ3" i="1" a="1"/>
  <c r="AE3" i="1"/>
  <c r="AH2" i="1"/>
  <c r="AJ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<sst xmlns="http://schemas.openxmlformats.org/spreadsheetml/2006/main" count="463" uniqueCount="227">
  <si>
    <t>IssueType</t>
  </si>
  <si>
    <t>Priority</t>
  </si>
  <si>
    <t>Summary</t>
  </si>
  <si>
    <t>Issue Key</t>
  </si>
  <si>
    <t>Description</t>
  </si>
  <si>
    <t>FixVersion</t>
  </si>
  <si>
    <t>Assignee.Name</t>
  </si>
  <si>
    <t>Component</t>
  </si>
  <si>
    <t>Sprint Name</t>
  </si>
  <si>
    <t>Estimate</t>
  </si>
  <si>
    <t>Issue ID</t>
  </si>
  <si>
    <t>Epic Link</t>
  </si>
  <si>
    <t>Epic Name</t>
  </si>
  <si>
    <t>Child-Issue</t>
  </si>
  <si>
    <t>Child-Issue1</t>
  </si>
  <si>
    <t>Child-Issue2</t>
  </si>
  <si>
    <t>Labels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</si>
  <si>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</si>
  <si>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</si>
  <si>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</si>
  <si>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</si>
  <si>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</si>
  <si>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</si>
  <si>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</si>
  <si>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</si>
  <si>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</si>
  <si>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</si>
  <si>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Sprint</t>
  </si>
  <si>
    <t>Labels0001</t>
  </si>
  <si>
    <t>Labels0002</t>
  </si>
  <si>
    <t>Assignee</t>
  </si>
  <si>
    <t>Project Key</t>
  </si>
  <si>
    <t>OrigEst</t>
  </si>
  <si>
    <t>Note</t>
  </si>
  <si>
    <t>Comment</t>
  </si>
  <si>
    <t>FORMULA HOLDER</t>
  </si>
  <si>
    <t>DO NOT DELETE OR CLEAR THIS ROW</t>
  </si>
  <si>
    <t>Task</t>
  </si>
  <si>
    <t>Medium</t>
  </si>
  <si>
    <t>Story</t>
  </si>
  <si>
    <t>Bug</t>
  </si>
  <si>
    <t>Epic</t>
  </si>
  <si>
    <t>Low</t>
  </si>
  <si>
    <t>RowType</t>
  </si>
  <si>
    <t>Skip</t>
  </si>
  <si>
    <t>WorkItem</t>
  </si>
  <si>
    <t>Feature Pod Label</t>
  </si>
  <si>
    <t>Highest</t>
  </si>
  <si>
    <t>Lowest</t>
  </si>
  <si>
    <t>Triage</t>
  </si>
  <si>
    <t>Creation Marker</t>
  </si>
  <si>
    <t>Issue Type</t>
  </si>
  <si>
    <t>Priority Lists</t>
  </si>
  <si>
    <t>Name</t>
  </si>
  <si>
    <t>Value</t>
  </si>
  <si>
    <t>Components</t>
  </si>
  <si>
    <t>Fix Version</t>
  </si>
  <si>
    <t>Assignee.ID</t>
  </si>
  <si>
    <t>Sprint.Name</t>
  </si>
  <si>
    <t>Sprint.ID</t>
  </si>
  <si>
    <t>JITTP Version 1</t>
  </si>
  <si>
    <t>JITTP Version 2</t>
  </si>
  <si>
    <t>JITTP Version 3</t>
  </si>
  <si>
    <t>Priority.Name</t>
  </si>
  <si>
    <t>IssueType.Name</t>
  </si>
  <si>
    <t>Component.Name</t>
  </si>
  <si>
    <t>FixVersion.Name</t>
  </si>
  <si>
    <t>Remark</t>
  </si>
  <si>
    <t>Ignore List</t>
  </si>
  <si>
    <t>IgnoreList.Name</t>
  </si>
  <si>
    <t>Assignees</t>
  </si>
  <si>
    <t>Sprints</t>
  </si>
  <si>
    <t>1w 2d 3h</t>
  </si>
  <si>
    <t>Combined Types</t>
  </si>
  <si>
    <t>A label added to all imported task to flag them in Jira</t>
  </si>
  <si>
    <t>Appropirate label for the feature pod when relevant</t>
  </si>
  <si>
    <t>List of assignees with their ID (Cloud) or Usernames (DC)</t>
  </si>
  <si>
    <t>Sprints Symbolic Names and their Jira IDs</t>
  </si>
  <si>
    <t>Fix Version Namess</t>
  </si>
  <si>
    <t>List of Components</t>
  </si>
  <si>
    <t>Accepted User Types</t>
  </si>
  <si>
    <t>Issue Types that won't be imported</t>
  </si>
  <si>
    <t>List of Piorities</t>
  </si>
  <si>
    <t>Combined list for the table</t>
  </si>
  <si>
    <t>1w</t>
  </si>
  <si>
    <t>Parent</t>
  </si>
  <si>
    <t>Misc Fields</t>
  </si>
  <si>
    <t>Sub-Task</t>
  </si>
  <si>
    <t>High</t>
  </si>
  <si>
    <t>Session Expiry Bug</t>
  </si>
  <si>
    <t>Security Hardening</t>
  </si>
  <si>
    <t>Access Denied Bug</t>
  </si>
  <si>
    <t>Responsive Layout</t>
  </si>
  <si>
    <t>Frontend</t>
  </si>
  <si>
    <t>Backend</t>
  </si>
  <si>
    <t>Testing</t>
  </si>
  <si>
    <t>Analytics</t>
  </si>
  <si>
    <t>Security</t>
  </si>
  <si>
    <t>3d</t>
  </si>
  <si>
    <t>2d</t>
  </si>
  <si>
    <t>4h</t>
  </si>
  <si>
    <t>1d</t>
  </si>
  <si>
    <t>2w</t>
  </si>
  <si>
    <t>4d</t>
  </si>
  <si>
    <t>john.doe</t>
  </si>
  <si>
    <t>jane.smith</t>
  </si>
  <si>
    <t>joe.grunt</t>
  </si>
  <si>
    <t>Alice A</t>
  </si>
  <si>
    <t>Bob B</t>
  </si>
  <si>
    <t>someID</t>
  </si>
  <si>
    <t>initiative</t>
  </si>
  <si>
    <t>epic</t>
  </si>
  <si>
    <t>story</t>
  </si>
  <si>
    <t>task</t>
  </si>
  <si>
    <t>bug</t>
  </si>
  <si>
    <t>sub-task</t>
  </si>
  <si>
    <t>6h</t>
  </si>
  <si>
    <t>Digital Transformation Program</t>
  </si>
  <si>
    <t>Customer Onboarding Revamp</t>
  </si>
  <si>
    <t>Design Welcome Flow</t>
  </si>
  <si>
    <t>Implement Welcome Screens</t>
  </si>
  <si>
    <t>Fix Broken Skip Button</t>
  </si>
  <si>
    <t>Unit Tests: Welcome Flow</t>
  </si>
  <si>
    <t>Authentication &amp; Accounts</t>
  </si>
  <si>
    <t>SSO Integration</t>
  </si>
  <si>
    <t>Password Reset Flow</t>
  </si>
  <si>
    <t>Add Tests for Reset Flow</t>
  </si>
  <si>
    <t>Payments &amp; Billing</t>
  </si>
  <si>
    <t>Checkout API</t>
  </si>
  <si>
    <t>Checkout UI</t>
  </si>
  <si>
    <t>Currency Rounding Error</t>
  </si>
  <si>
    <t>Edge-Case Tests</t>
  </si>
  <si>
    <t>Mobile &amp; Growth</t>
  </si>
  <si>
    <t>Mobile App UX</t>
  </si>
  <si>
    <t>Touch Gestures</t>
  </si>
  <si>
    <t>Gesture Misfire Bug</t>
  </si>
  <si>
    <t>Gesture Regression Tests</t>
  </si>
  <si>
    <t>Admin &amp; Permissions</t>
  </si>
  <si>
    <t>Role Model Design</t>
  </si>
  <si>
    <t>Permission Editor UI</t>
  </si>
  <si>
    <t>Unit Tests: Guards</t>
  </si>
  <si>
    <t>Localization &amp; Accessibility</t>
  </si>
  <si>
    <t>Language Packs</t>
  </si>
  <si>
    <t>RTL Support</t>
  </si>
  <si>
    <t>Contrast Issue</t>
  </si>
  <si>
    <t>Contrast Test Cases</t>
  </si>
  <si>
    <t>Token Refresh</t>
  </si>
  <si>
    <t>Rate Limiting</t>
  </si>
  <si>
    <t>JWT Validation Bug</t>
  </si>
  <si>
    <t>JWT Negative Tests</t>
  </si>
  <si>
    <t>Analytics &amp; Reporting</t>
  </si>
  <si>
    <t>Usage Dashboard</t>
  </si>
  <si>
    <t>Charts: Load Tests</t>
  </si>
  <si>
    <t>Product</t>
  </si>
  <si>
    <t>UX</t>
  </si>
  <si>
    <t>Payments</t>
  </si>
  <si>
    <t>Strategy</t>
  </si>
  <si>
    <t>Localization</t>
  </si>
  <si>
    <t>Initiative</t>
  </si>
  <si>
    <t>Top-level initiative coordinating cross-domain work</t>
  </si>
  <si>
    <t>Improve first-time user experience and activation</t>
  </si>
  <si>
    <t>Create wireframes and copy for welcome steps</t>
  </si>
  <si>
    <t>Build front-end for multi-step welcome</t>
  </si>
  <si>
    <t>Skip button unresponsive on step 2</t>
  </si>
  <si>
    <t>Cover edge cases for welcome logic</t>
  </si>
  <si>
    <t>Modernize auth</t>
  </si>
  <si>
    <t>Add OIDC SSO with corporate IdP</t>
  </si>
  <si>
    <t>Implement secure token-based reset</t>
  </si>
  <si>
    <t>Sessions not invalidated on logout</t>
  </si>
  <si>
    <t>Write unit tests for reset controller</t>
  </si>
  <si>
    <t>Stripe integration and invoicing</t>
  </si>
  <si>
    <t>Implement server-side checkout</t>
  </si>
  <si>
    <t>Build cart and checkout screens</t>
  </si>
  <si>
    <t>Rounding differs between UI/API</t>
  </si>
  <si>
    <t>Add e2e tests for failed payments</t>
  </si>
  <si>
    <t>Mobile-first initiative to grow MAU</t>
  </si>
  <si>
    <t>Refine navigation and gestures on mobile</t>
  </si>
  <si>
    <t>Implement responsive grid and breakpoints</t>
  </si>
  <si>
    <t>Add swipe/long-press interactions</t>
  </si>
  <si>
    <t>Swipe back triggers on tap</t>
  </si>
  <si>
    <t>Automate gesture tests on devices</t>
  </si>
  <si>
    <t>Granular roles and permissions</t>
  </si>
  <si>
    <t>Define roles/claims and inheritance</t>
  </si>
  <si>
    <t>Create admin UI to manage permissions</t>
  </si>
  <si>
    <t>Authorized users blocked by guard</t>
  </si>
  <si>
    <t>Add unit tests for permission guards</t>
  </si>
  <si>
    <t>Internationalization and a11y</t>
  </si>
  <si>
    <t>Ship EN/FR/DE language packs</t>
  </si>
  <si>
    <t>Add RTL styles and mirroring</t>
  </si>
  <si>
    <t>Insufficient contrast on buttons</t>
  </si>
  <si>
    <t>Create WCAG contrast tests</t>
  </si>
  <si>
    <t>Defense-in-depth workstream</t>
  </si>
  <si>
    <t>Implement rotating refresh tokens</t>
  </si>
  <si>
    <t>Add per-IP/user limits</t>
  </si>
  <si>
    <t>Expired tokens accepted</t>
  </si>
  <si>
    <t>Add invalid/expired token tests</t>
  </si>
  <si>
    <t>Dashboards and exports</t>
  </si>
  <si>
    <t>Build KPI dashboard for MAU/DAU</t>
  </si>
  <si>
    <t>Create performance tests for charts</t>
  </si>
  <si>
    <t>jira.connection.site_address</t>
  </si>
  <si>
    <t>jira.project.key</t>
  </si>
  <si>
    <t>validation.skip_rowtype</t>
  </si>
  <si>
    <t>validation.skip_issuetypes</t>
  </si>
  <si>
    <t>["comment", "note", "skip"]</t>
  </si>
  <si>
    <t>https://YOUR.atlassian.net</t>
  </si>
  <si>
    <t>PRJ_KEY</t>
  </si>
  <si>
    <t>jt-imported</t>
  </si>
  <si>
    <t>ft-group-1</t>
  </si>
  <si>
    <t>Custom Fields</t>
  </si>
  <si>
    <t>Id</t>
  </si>
  <si>
    <t>Type</t>
  </si>
  <si>
    <t>Format</t>
  </si>
  <si>
    <t>CF Number</t>
  </si>
  <si>
    <t>customfield_10125</t>
  </si>
  <si>
    <t>number</t>
  </si>
  <si>
    <t>CF Plain Text</t>
  </si>
  <si>
    <t>customfield_10124</t>
  </si>
  <si>
    <t>text</t>
  </si>
  <si>
    <t>CF Select</t>
  </si>
  <si>
    <t>customfield_10126</t>
  </si>
  <si>
    <t>select</t>
  </si>
  <si>
    <t>CF Date</t>
  </si>
  <si>
    <t>customfield_10123</t>
  </si>
  <si>
    <t>date</t>
  </si>
  <si>
    <t>abc</t>
  </si>
  <si>
    <t>jira.components_source</t>
  </si>
  <si>
    <t>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</si>
</sst>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19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3" fillId="33" borderId="10" xfId="0" applyFont="1" applyFill="1" applyBorder="1"/>
    <xf numFmtId="0" fontId="20" fillId="21" borderId="0" xfId="30" applyFont="1" applyAlignment="1">
      <alignment horizontal="center"/>
    </xf>
    <xf numFmtId="0" fontId="0" fillId="0" borderId="0" xfId="0" applyAlignment="1">
      <alignment shrinkToFit="1"/>
    </xf>
    <xf numFmtId="49" fontId="0" fillId="0" borderId="0" xfId="0" applyNumberFormat="1" applyAlignment="1">
      <alignment vertical="top"/>
    </xf>
    <xf numFmtId="0" fontId="15" fillId="0" borderId="0" xfId="16" applyAlignment="1">
      <alignment horizontal="left" shrinkToFit="1"/>
    </xf>
    <xf numFmtId="0" fontId="15" fillId="0" borderId="0" xfId="16" applyAlignment="1">
      <alignment shrinkToFit="1"/>
    </xf>
    <xf numFmtId="0" fontId="21" fillId="0" borderId="0" xfId="42"/>
    <xf numFmtId="0" fontId="20" fillId="21" borderId="0" xfId="30" applyFont="1" applyAlignment="1">
      <alignment horizontal="center"/>
    </xf>
    <xf numFmtId="0" fontId="15" fillId="0" borderId="0" xfId="16" applyAlignment="1">
      <alignment horizontal="left" shrinkToFi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/>
        <strike val="0"/>
        <color theme="0" tint="-0.34998626667073579"/>
      </font>
      <fill>
        <patternFill>
          <bgColor theme="0" tint="-4.9989318521683403E-2"/>
        </patternFill>
      </fill>
    </dxf>
    <dxf>
      <font>
        <strike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 patternType="solid">
          <fgColor auto="1"/>
          <bgColor rgb="FFF9B1AB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FF99CC"/>
        </patternFill>
      </fill>
    </dxf>
    <dxf>
      <font>
        <b/>
        <i val="0"/>
      </font>
      <fill>
        <patternFill>
          <bgColor rgb="FFFF6699"/>
        </patternFill>
      </fill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vertical="top"/>
    </dxf>
    <dxf>
      <numFmt numFmtId="0" formatCode="General"/>
      <alignment vertical="top"/>
    </dxf>
    <dxf>
      <numFmt numFmtId="30" formatCode="@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font>
        <b val="0"/>
      </font>
      <numFmt numFmtId="0" formatCode="General"/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horizontal="general" vertical="bottom" textRotation="0" wrapText="0" indent="0" justifyLastLine="0" shrinkToFit="1" readingOrder="0"/>
    </dxf>
    <dxf>
      <numFmt numFmtId="30" formatCode="@"/>
    </dxf>
  </dxfs>
  <tableStyles count="0" defaultTableStyle="TableStyleMedium2" defaultPivotStyle="PivotStyleLight16"/>
  <colors>
    <mruColors>
      <color rgb="FFDAF2D0"/>
      <color rgb="FFF2CEEF"/>
      <color rgb="FFAFE49C"/>
      <color rgb="FFE18FD9"/>
      <color rgb="FFFF5050"/>
      <color rgb="FFF9B1AB"/>
      <color rgb="FFCCECFF"/>
      <color rgb="FF99CCFF"/>
      <color rgb="FFFF66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233F75-225A-4D7F-8A86-543E0A8C6E58}">
    <nsvFilter filterId="{933FCFD5-1AB1-4076-B5DD-E2B69F5EB3F2}" ref="A1:AL42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FCFD5-1AB1-4076-B5DD-E2B69F5EB3F2}" name="JiraDataset" displayName="JiraDataset" ref="A1:AL42" totalsRowShown="0" headerRowDxfId="55" dataDxfId="54">
  <autoFilter ref="A1:AL42" xr:uid="{933FCFD5-1AB1-4076-B5DD-E2B69F5EB3F2}"/>
  <tableColumns count="38">
    <tableColumn id="3" xr3:uid="{AF2EC907-349C-4651-852D-6E39C61E17FF}" name="Priority" dataDxfId="53"/>
    <tableColumn id="2" xr3:uid="{E90C51F2-4386-421F-A3E4-E2CA9D43D396}" name="IssueType" dataDxfId="52"/>
    <tableColumn id="1" xr3:uid="{BBAD373B-BA13-47E4-9F74-565F4D9E9680}" name="Summary" dataDxfId="51"/>
    <tableColumn id="4" xr3:uid="{026E5B97-FAFC-4E46-860E-0B0C976B1148}" name="Issue Key" dataDxfId="50"/>
    <tableColumn id="5" xr3:uid="{A2C262E8-D544-4669-99F1-151EDE081654}" name="Description" dataDxfId="49"/>
    <tableColumn id="7" xr3:uid="{0FAD1ACC-432E-462C-8B89-71540710BCB5}" name="FixVersion" dataDxfId="48">
      <calculatedColumnFormula>Config!$G$4</calculatedColumnFormula>
    </tableColumn>
    <tableColumn id="28" xr3:uid="{07F3030C-7187-4B16-BBDB-798304851975}" name="Assignee.Name" dataDxfId="47"/>
    <tableColumn id="8" xr3:uid="{8C7FB8DB-A85B-4189-93D8-0F0D4EEEF81B}" name="Component" dataDxfId="46"/>
    <tableColumn id="9" xr3:uid="{DC5101A8-1204-44D2-BC2C-FEE1A4EFE7C1}" name="Sprint Name" dataDxfId="45"/>
    <tableColumn id="31" xr3:uid="{DA0D5F8E-BF5F-462C-B819-B0CE3CF6918C}" name="CF Number" dataDxfId="44"/>
    <tableColumn id="32" xr3:uid="{49F51846-B44C-482E-BB5B-806FFDC85264}" name="CF Plain Text" dataDxfId="43"/>
    <tableColumn id="40" xr3:uid="{1F406792-7ED2-4476-8FF4-4C6ABA231C97}" name="Estimate" dataDxfId="42"/>
    <tableColumn id="10" xr3:uid="{70B7C471-B624-430B-8992-4711F27BB17E}" name="Issue ID" dataDxfId="41"/>
    <tableColumn id="30" xr3:uid="{938D6CA2-8309-4146-9B62-E8CDFAB7B1C9}" name="Parent" dataDxfId="40"/>
    <tableColumn id="11" xr3:uid="{594BD56F-7D1D-408F-BEDC-6BB9854C71A1}" name="Epic Link" dataDxfId="39"/>
    <tableColumn id="33" xr3:uid="{3A94D4B2-1A5B-4BBF-B398-E56D2BB7F948}" name="Epic Name" dataDxfId="38">
      <calculatedColumnFormula>IF(JiraDataset[[#This Row],[IssueType]]="Epic",JiraDataset[[#This Row],[Summary]],"")</calculatedColumnFormula>
    </tableColumn>
    <tableColumn id="27" xr3:uid="{911C8FDC-5528-43FC-BDF4-D4761F03C0E5}" name="Child-Issue" dataDxfId="37"/>
    <tableColumn id="41" xr3:uid="{AB248E07-9BFA-42CC-BC41-B4234F677BFB}" name="Child-Issue1" dataDxfId="36"/>
    <tableColumn id="29" xr3:uid="{89D12135-F3E3-4253-844F-1B9A54169953}" name="Child-Issue2" dataDxfId="35"/>
    <tableColumn id="12" xr3:uid="{0699B70E-673B-4238-8A66-12FC943A4812}" name="Labels" dataDxfId="34"/>
    <tableColumn id="13" xr3:uid="{9840B81F-2CA6-4708-8C93-3E7C8F72A676}" name="Labels1" dataDxfId="33"/>
    <tableColumn id="14" xr3:uid="{D4A99C0B-46B7-484A-842E-D62E9D5D9341}" name="Labels2" dataDxfId="32"/>
    <tableColumn id="15" xr3:uid="{1D1C275E-5C65-4393-9663-6C5F617591E1}" name="Labels3" dataDxfId="31"/>
    <tableColumn id="16" xr3:uid="{D823FA91-7106-42D3-9DBC-B337C509EB09}" name="Labels4" dataDxfId="30"/>
    <tableColumn id="17" xr3:uid="{05A07F85-1763-4A66-9CBB-4A760BD03D27}" name="Labels5" dataDxfId="29"/>
    <tableColumn id="18" xr3:uid="{16B98070-7F8A-4FC7-AD99-EA81D0BD26AB}" name="Labels6" dataDxfId="28"/>
    <tableColumn id="19" xr3:uid="{016EAEF4-8EA9-408B-9F1A-ECFB17E81C77}" name="Labels7" dataDxfId="27"/>
    <tableColumn id="26" xr3:uid="{8263F9EC-BF0A-46F7-BA83-6083A4262B91}" name="Labels8" dataDxfId="26"/>
    <tableColumn id="20" xr3:uid="{389B11C5-1B22-48C0-BCA2-72F050425FA1}" name="Labels9" dataDxfId="25"/>
    <tableColumn id="25" xr3:uid="{AE95F8A2-F7F0-4985-9AE6-4201B9792775}" name="Labels10" dataDxfId="24"/>
    <tableColumn id="21" xr3:uid="{105F2D0F-70C1-4517-A55F-4C1DDFE85301}" name="Sprint" dataDxfId="23">
      <calculatedColumnFormula>IF(JiraDataset[[#This Row],[RowType]]=cfg_type_skip,"",IFERROR(VLOOKUP(JiraDataset[[#This Row],[Sprint Name]], Config!$D$4:$E$9, 2, FALSE), ""))</calculatedColumnFormula>
    </tableColumn>
    <tableColumn id="22" xr3:uid="{D5984986-D838-4F87-A554-5DC4CA005452}" name="Labels0001" dataDxfId="22">
      <calculatedColumnFormula>IF(JiraDataset[[#This Row],[RowType]]=cfg_type_skip,"",_xlfn.XLOOKUP("Creation Marker", CfgAutofieldValues[Name], CfgAutofieldValues[Value]))</calculatedColumnFormula>
    </tableColumn>
    <tableColumn id="39" xr3:uid="{C24E9ADD-96A8-4DBB-86A0-08D41975D750}" name="Labels0002" dataDxfId="21">
      <calculatedColumnFormula>IF(JiraDataset[[#This Row],[RowType]]=cfg_type_skip,"",_xlfn.XLOOKUP("Feature Pod Label", CfgAutofieldValues[Name], CfgAutofieldValues[Value]))</calculatedColumnFormula>
    </tableColumn>
    <tableColumn id="6" xr3:uid="{A6D8D5A6-43EE-415C-80C1-30372C7FE5BF}" name="Assignee" dataDxfId="20">
      <calculatedColumnFormula>IF(JiraDataset[[#This Row],[RowType]]=cfg_type_skip,"",IFERROR(VLOOKUP(JiraDataset[[#This Row],[Assignee.Name]], Config!$A$4:$B$24, 2, FALSE), ""))</calculatedColumnFormula>
    </tableColumn>
    <tableColumn id="23" xr3:uid="{51D4B5F4-C6D3-4EEC-8B1B-7BEC6E526A64}" name="Project Key" dataDxfId="19">
      <calculatedColumnFormula>IF(JiraDataset[[#This Row],[RowType]]=cfg_type_skip,"",_xlfn.XLOOKUP("jira.project.key", CfgAutofieldValues[Name], CfgAutofieldValues[Value]))</calculatedColumnFormula>
    </tableColumn>
    <tableColumn id="42" xr3:uid="{82B78F0D-CAEF-4615-B12A-B15ACF33913C}" name="OrigEst" dataDxfId="18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xr3:uid="{C92FD7EC-0EAB-4967-A0E5-D2427E3A55B4}" name="RowType" dataDxfId="17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xr3:uid="{B63E8FC4-20B3-4755-92F2-EA1F700CA72E}" name="Note" dataDxfId="1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F2D14D-2ABD-4171-895D-1041B0893491}" name="CfgComponents" displayName="CfgComponents" ref="I3:I13" totalsRowShown="0">
  <autoFilter ref="I3:I13" xr:uid="{93F2D14D-2ABD-4171-895D-1041B0893491}"/>
  <tableColumns count="1">
    <tableColumn id="1" xr3:uid="{10F6CCA4-1068-4FC8-AB82-E48B87DB0F71}" name="Component.Nam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7FF9D-9384-422B-8DB3-300D782E5FE6}" name="CfgFixVersions" displayName="CfgFixVersions" ref="G3:G6" totalsRowShown="0">
  <autoFilter ref="G3:G6" xr:uid="{7007FF9D-9384-422B-8DB3-300D782E5FE6}"/>
  <tableColumns count="1">
    <tableColumn id="1" xr3:uid="{E20FAA91-E54E-42EA-9BFF-2FDA27CD5D33}" name="FixVersion.Nam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085B8C-1322-4F43-A516-588923936259}" name="CfgIssueTypes" displayName="CfgIssueTypes" ref="K3:K9" totalsRowShown="0">
  <autoFilter ref="K3:K9" xr:uid="{6F085B8C-1322-4F43-A516-588923936259}"/>
  <tableColumns count="1">
    <tableColumn id="1" xr3:uid="{A92436BC-3156-493F-B5C6-0BB6B51F89EB}" name="IssueType.Nam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C0EE44-3F60-4588-BF11-75C3DD021846}" name="CfgPriorities" displayName="CfgPriorities" ref="O3:O9" totalsRowShown="0">
  <autoFilter ref="O3:O9" xr:uid="{A6C0EE44-3F60-4588-BF11-75C3DD021846}"/>
  <tableColumns count="1">
    <tableColumn id="1" xr3:uid="{3B3BE2ED-38C4-410B-B0BF-4A9BD9B4B974}" name="Priority.Name" dataDxfId="5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F5833D-4918-4C71-A990-1B275126361D}" name="CfgAssignees" displayName="CfgAssignees" ref="A3:B8" totalsRowShown="0">
  <autoFilter ref="A3:B8" xr:uid="{1EF5833D-4918-4C71-A990-1B275126361D}"/>
  <tableColumns count="2">
    <tableColumn id="1" xr3:uid="{7F7B4E10-E51C-443F-875D-3E6A9FD9994C}" name="Assignee.Name"/>
    <tableColumn id="2" xr3:uid="{3A4C6F03-89A9-4E38-8288-00D055D51CD3}" name="Assignee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674B63-54C8-47AC-9FF0-4034C2D499BA}" name="CfgSprints" displayName="CfgSprints" ref="D3:E4" insertRow="1" totalsRowShown="0">
  <autoFilter ref="D3:E4" xr:uid="{72674B63-54C8-47AC-9FF0-4034C2D499BA}"/>
  <tableColumns count="2">
    <tableColumn id="1" xr3:uid="{397B719B-4CC6-4F47-8F3C-168F13ED56DA}" name="Sprint.Name"/>
    <tableColumn id="2" xr3:uid="{2FD208E7-540E-4D07-9144-6E9F3065D9DE}" name="Sprint.ID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3560BC-B1F2-44B6-B877-188131EFA163}" name="CfgAutofieldValues" displayName="CfgAutofieldValues" ref="Q3:S10" totalsRowShown="0">
  <autoFilter ref="Q3:S10" xr:uid="{383560BC-B1F2-44B6-B877-188131EFA163}"/>
  <tableColumns count="3">
    <tableColumn id="1" xr3:uid="{D4E1611F-A2CF-465D-A219-1759EA66687D}" name="Name"/>
    <tableColumn id="2" xr3:uid="{174D0D86-B1AA-4BF7-AC91-FCACFC898851}" name="Value"/>
    <tableColumn id="3" xr3:uid="{4D0493E3-2ED0-412B-9468-835FC91C2910}" name="Remark" dataDxfId="56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BE2B38-573A-4A51-8D54-C217B9D7D54F}" name="CfgIgnoreList" displayName="CfgIgnoreList" ref="M3:M7" totalsRowShown="0">
  <autoFilter ref="M3:M7" xr:uid="{0ABE2B38-573A-4A51-8D54-C217B9D7D54F}"/>
  <tableColumns count="1">
    <tableColumn id="1" xr3:uid="{1396737E-05D6-4D62-AF56-4B039C3A3607}" name="IgnoreList.Name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CBFBB4-02BC-4B66-8A97-7242DF724C36}" name="CfgCustomFields" displayName="CfgCustomFields" ref="U3:X7" totalsRowShown="0">
  <autoFilter ref="U3:X7" xr:uid="{E0CBFBB4-02BC-4B66-8A97-7242DF724C36}"/>
  <tableColumns count="4">
    <tableColumn id="1" xr3:uid="{35E3442D-4357-4368-9187-CE9F6C452860}" name="Name"/>
    <tableColumn id="2" xr3:uid="{F8C0821E-129D-4882-B92F-1C7802183B72}" name="Id"/>
    <tableColumn id="3" xr3:uid="{FEC409DA-5520-4B73-8484-1DFB6C36AC99}" name="Type"/>
    <tableColumn id="4" xr3:uid="{63089FE5-F792-46DE-8B49-6CF27783D0D6}" name="Forma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your.atlassian.net/" TargetMode="Externa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058B-F76D-4AAE-8108-6C4469E9D8B5}">
  <dimension ref="A1:AN42"/>
  <sheetViews>
    <sheetView showGridLines="0" tabSelected="1" workbookViewId="0">
      <selection activeCell="E22" sqref="E22"/>
    </sheetView>
  </sheetViews>
  <sheetFormatPr defaultRowHeight="15" outlineLevelCol="1" x14ac:dyDescent="0.25"/>
  <cols>
    <col min="1" max="2" width="12.42578125" bestFit="1" customWidth="1"/>
    <col min="3" max="3" width="31.7109375" customWidth="1"/>
    <col min="4" max="4" width="10.85546875" hidden="1" customWidth="1"/>
    <col min="5" max="5" width="42.140625" bestFit="1" customWidth="1"/>
    <col min="6" max="6" width="14.140625" bestFit="1" customWidth="1"/>
    <col min="7" max="7" width="17.42578125" bestFit="1" customWidth="1"/>
    <col min="8" max="8" width="22.5703125" customWidth="1"/>
    <col min="9" max="9" width="14" bestFit="1" customWidth="1"/>
    <col min="10" max="11" width="14" customWidth="1"/>
    <col min="12" max="13" width="14.42578125" bestFit="1" customWidth="1"/>
    <col min="14" max="14" width="14.28515625" customWidth="1"/>
    <col min="15" max="15" width="14.42578125" customWidth="1"/>
    <col min="16" max="16" width="14.28515625" customWidth="1"/>
    <col min="17" max="17" width="0" hidden="1" customWidth="1"/>
    <col min="18" max="18" width="22.28515625" hidden="1" customWidth="1"/>
    <col min="19" max="19" width="12.85546875" hidden="1" customWidth="1"/>
    <col min="20" max="20" width="12.42578125" customWidth="1"/>
    <col min="21" max="21" width="15.5703125" customWidth="1"/>
    <col min="22" max="22" width="12.85546875" customWidth="1"/>
    <col min="23" max="23" width="10" customWidth="1"/>
    <col min="24" max="24" width="10" bestFit="1" customWidth="1"/>
    <col min="25" max="25" width="10" customWidth="1"/>
    <col min="26" max="26" width="10.140625" bestFit="1" customWidth="1"/>
    <col min="27" max="32" width="10" hidden="1" customWidth="1" outlineLevel="1"/>
    <col min="33" max="33" width="10" customWidth="1" collapsed="1"/>
    <col min="34" max="34" width="8.7109375" hidden="1" customWidth="1" outlineLevel="1"/>
    <col min="35" max="36" width="13.140625" hidden="1" customWidth="1" outlineLevel="1"/>
    <col min="37" max="37" width="11.42578125" hidden="1" customWidth="1" outlineLevel="1"/>
    <col min="38" max="39" width="13.7109375" hidden="1" customWidth="1" outlineLevel="1"/>
    <col min="40" max="40" width="36.5703125" bestFit="1" customWidth="1" collapsed="1"/>
    <col min="42" max="42" width="18.7109375" customWidth="1"/>
    <col min="43" max="43" width="87.28515625" customWidth="1"/>
  </cols>
  <sheetData>
    <row r="1" spans="1:38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212</v>
      </c>
      <c r="K1" s="3" t="s">
        <v>215</v>
      </c>
      <c r="L1" s="3" t="s">
        <v>9</v>
      </c>
      <c r="M1" s="3" t="s">
        <v>10</v>
      </c>
      <c r="N1" t="s">
        <v>85</v>
      </c>
      <c r="O1" s="3" t="s">
        <v>11</v>
      </c>
      <c r="P1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4" t="s">
        <v>32</v>
      </c>
      <c r="AK1" s="4" t="s">
        <v>43</v>
      </c>
      <c r="AL1" s="3" t="s">
        <v>33</v>
      </c>
    </row>
    <row r="2" spans="1:38" x14ac:dyDescent="0.25">
      <c r="A2" s="3"/>
      <c r="B2" s="3" t="s">
        <v>33</v>
      </c>
      <c r="C2" s="3" t="s">
        <v>35</v>
      </c>
      <c r="D2" s="3"/>
      <c r="E2" s="3" t="s">
        <v>36</v>
      </c>
      <c r="F2" s="3"/>
      <c r="G2" s="3"/>
      <c r="H2" s="3"/>
      <c r="I2" s="3"/>
      <c r="J2" s="3"/>
      <c r="K2" s="3"/>
      <c r="L2" s="3" t="s">
        <v>72</v>
      </c>
      <c r="M2" s="3"/>
      <c r="N2" s="3"/>
      <c r="O2" s="3"/>
      <c r="P2" s="3" t="str">
        <f>IF(JiraDataset[[#This Row],[IssueType]]="Epic",JiraDataset[[#This Row],[Summary]],"")</f>
        <v/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 t="str">
        <f>IF(JiraDataset[[#This Row],[RowType]]=cfg_type_skip,"",IFERROR(VLOOKUP(JiraDataset[[#This Row],[Sprint Name]], Config!$D$4:$E$9, 2, FALSE), ""))</f>
        <v/>
      </c>
      <c r="AF2" s="3" t="str">
        <f>IF(JiraDataset[[#This Row],[RowType]]=cfg_type_skip,"",_xlfn.XLOOKUP("Creation Marker", CfgAutofieldValues[Name], CfgAutofieldValues[Value]))</f>
        <v/>
      </c>
      <c r="AG2" s="8" t="str">
        <f>IF(JiraDataset[[#This Row],[RowType]]=cfg_type_skip,"",_xlfn.XLOOKUP("Feature Pod Label", CfgAutofieldValues[Name], CfgAutofieldValues[Value]))</f>
        <v/>
      </c>
      <c r="AH2" s="3" t="str">
        <f>IF(JiraDataset[[#This Row],[RowType]]=cfg_type_skip,"",IFERROR(VLOOKUP(JiraDataset[[#This Row],[Assignee.Name]], Config!$A$4:$B$24, 2, FALSE), ""))</f>
        <v/>
      </c>
      <c r="AI2" s="3" t="str">
        <f>IF(JiraDataset[[#This Row],[RowType]]=cfg_type_skip,"",_xlfn.XLOOKUP("jira.project.key", CfgAutofieldValues[Name], CfgAutofieldValues[Value]))</f>
        <v/>
      </c>
      <c r="AJ2" s="3" t="str" cm="1">
        <f t="array" ref="AJ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/>
      </c>
      <c r="AK2" s="3" t="str" cm="1">
        <f t="array" ref="AK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SKIP</v>
      </c>
      <c r="AL2" s="3"/>
    </row>
    <row r="3" spans="1:38" x14ac:dyDescent="0.25">
      <c r="A3" s="3" t="s">
        <v>88</v>
      </c>
      <c r="B3" s="3" t="s">
        <v>110</v>
      </c>
      <c r="C3" s="3" t="s">
        <v>117</v>
      </c>
      <c r="D3" s="3"/>
      <c r="E3" s="3" t="s">
        <v>159</v>
      </c>
      <c r="F3" s="3" t="s">
        <v>60</v>
      </c>
      <c r="G3" s="3" t="s">
        <v>106</v>
      </c>
      <c r="H3" s="3"/>
      <c r="I3" s="3"/>
      <c r="J3" s="3">
        <v>1</v>
      </c>
      <c r="K3" s="3" t="s">
        <v>224</v>
      </c>
      <c r="L3" s="3" t="s">
        <v>102</v>
      </c>
      <c r="M3" s="3">
        <v>1</v>
      </c>
      <c r="N3" s="3"/>
      <c r="O3" s="3"/>
      <c r="P3" s="3" t="str">
        <f>IF(JiraDataset[[#This Row],[IssueType]]="Epic",JiraDataset[[#This Row],[Summary]],"")</f>
        <v/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 t="str">
        <f>IF(JiraDataset[[#This Row],[RowType]]=cfg_type_skip,"",IFERROR(VLOOKUP(JiraDataset[[#This Row],[Sprint Name]], Config!$D$4:$E$9, 2, FALSE), ""))</f>
        <v/>
      </c>
      <c r="AF3" s="3" t="str">
        <f>IF(JiraDataset[[#This Row],[RowType]]=cfg_type_skip,"",_xlfn.XLOOKUP("Creation Marker", CfgAutofieldValues[Name], CfgAutofieldValues[Value]))</f>
        <v>jt-imported</v>
      </c>
      <c r="AG3" s="8" t="str">
        <f>IF(JiraDataset[[#This Row],[RowType]]=cfg_type_skip,"",_xlfn.XLOOKUP("Feature Pod Label", CfgAutofieldValues[Name], CfgAutofieldValues[Value]))</f>
        <v>ft-group-1</v>
      </c>
      <c r="AH3" s="3" t="str">
        <f>IF(JiraDataset[[#This Row],[RowType]]=cfg_type_skip,"",IFERROR(VLOOKUP(JiraDataset[[#This Row],[Assignee.Name]], Config!$A$4:$B$24, 2, FALSE), ""))</f>
        <v>someID</v>
      </c>
      <c r="AI3" s="3" t="str">
        <f>IF(JiraDataset[[#This Row],[RowType]]=cfg_type_skip,"",_xlfn.XLOOKUP("jira.project.key", CfgAutofieldValues[Name], CfgAutofieldValues[Value]))</f>
        <v>PRJ_KEY</v>
      </c>
      <c r="AJ3" s="3" cm="1">
        <f t="array" ref="AJ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17280000</v>
      </c>
      <c r="AK3" s="3" t="str" cm="1">
        <f t="array" ref="AK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" s="3"/>
    </row>
    <row r="4" spans="1:38" x14ac:dyDescent="0.25">
      <c r="A4" s="3" t="s">
        <v>38</v>
      </c>
      <c r="B4" s="3" t="s">
        <v>111</v>
      </c>
      <c r="C4" s="3" t="s">
        <v>118</v>
      </c>
      <c r="D4" s="3"/>
      <c r="E4" s="3" t="s">
        <v>160</v>
      </c>
      <c r="F4" s="3" t="s">
        <v>60</v>
      </c>
      <c r="G4" s="3" t="s">
        <v>104</v>
      </c>
      <c r="H4" s="3" t="s">
        <v>153</v>
      </c>
      <c r="I4" s="3"/>
      <c r="J4" s="3">
        <v>1</v>
      </c>
      <c r="K4" s="3" t="s">
        <v>224</v>
      </c>
      <c r="L4" s="3" t="s">
        <v>84</v>
      </c>
      <c r="M4" s="3">
        <v>2</v>
      </c>
      <c r="N4" s="3">
        <v>1</v>
      </c>
      <c r="O4" s="3"/>
      <c r="P4" s="3" t="str">
        <f>IF(JiraDataset[[#This Row],[IssueType]]="Epic",JiraDataset[[#This Row],[Summary]],"")</f>
        <v>Customer Onboarding Revamp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tr">
        <f>IF(JiraDataset[[#This Row],[RowType]]=cfg_type_skip,"",IFERROR(VLOOKUP(JiraDataset[[#This Row],[Sprint Name]], Config!$D$4:$E$9, 2, FALSE), ""))</f>
        <v/>
      </c>
      <c r="AF4" s="3" t="str">
        <f>IF(JiraDataset[[#This Row],[RowType]]=cfg_type_skip,"",_xlfn.XLOOKUP("Creation Marker", CfgAutofieldValues[Name], CfgAutofieldValues[Value]))</f>
        <v>jt-imported</v>
      </c>
      <c r="AG4" s="8" t="str">
        <f>IF(JiraDataset[[#This Row],[RowType]]=cfg_type_skip,"",_xlfn.XLOOKUP("Feature Pod Label", CfgAutofieldValues[Name], CfgAutofieldValues[Value]))</f>
        <v>ft-group-1</v>
      </c>
      <c r="AH4" s="3" t="str">
        <f>IF(JiraDataset[[#This Row],[RowType]]=cfg_type_skip,"",IFERROR(VLOOKUP(JiraDataset[[#This Row],[Assignee.Name]], Config!$A$4:$B$24, 2, FALSE), ""))</f>
        <v>someID</v>
      </c>
      <c r="AI4" s="3" t="str">
        <f>IF(JiraDataset[[#This Row],[RowType]]=cfg_type_skip,"",_xlfn.XLOOKUP("jira.project.key", CfgAutofieldValues[Name], CfgAutofieldValues[Value]))</f>
        <v>PRJ_KEY</v>
      </c>
      <c r="AJ4" s="3" cm="1">
        <f t="array" ref="AJ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K4" s="3" t="str" cm="1">
        <f t="array" ref="AK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4" s="3"/>
    </row>
    <row r="5" spans="1:38" x14ac:dyDescent="0.25">
      <c r="A5" s="3" t="s">
        <v>47</v>
      </c>
      <c r="B5" s="3" t="s">
        <v>112</v>
      </c>
      <c r="C5" s="3" t="s">
        <v>119</v>
      </c>
      <c r="D5" s="3"/>
      <c r="E5" s="3" t="s">
        <v>161</v>
      </c>
      <c r="F5" s="3" t="str">
        <f>Config!$G$4</f>
        <v>JITTP Version 1</v>
      </c>
      <c r="G5" s="3" t="s">
        <v>105</v>
      </c>
      <c r="H5" s="3" t="s">
        <v>154</v>
      </c>
      <c r="I5" s="3"/>
      <c r="J5" s="3">
        <v>1</v>
      </c>
      <c r="K5" s="3" t="s">
        <v>224</v>
      </c>
      <c r="L5" s="3" t="s">
        <v>98</v>
      </c>
      <c r="M5" s="3">
        <v>3</v>
      </c>
      <c r="N5" s="3">
        <v>2</v>
      </c>
      <c r="O5" s="3"/>
      <c r="P5" s="3" t="str">
        <f>IF(JiraDataset[[#This Row],[IssueType]]="Epic",JiraDataset[[#This Row],[Summary]],"")</f>
        <v/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 t="str">
        <f>IF(JiraDataset[[#This Row],[RowType]]=cfg_type_skip,"",IFERROR(VLOOKUP(JiraDataset[[#This Row],[Sprint Name]], Config!$D$4:$E$9, 2, FALSE), ""))</f>
        <v/>
      </c>
      <c r="AF5" s="3" t="str">
        <f>IF(JiraDataset[[#This Row],[RowType]]=cfg_type_skip,"",_xlfn.XLOOKUP("Creation Marker", CfgAutofieldValues[Name], CfgAutofieldValues[Value]))</f>
        <v>jt-imported</v>
      </c>
      <c r="AG5" s="8" t="str">
        <f>IF(JiraDataset[[#This Row],[RowType]]=cfg_type_skip,"",_xlfn.XLOOKUP("Feature Pod Label", CfgAutofieldValues[Name], CfgAutofieldValues[Value]))</f>
        <v>ft-group-1</v>
      </c>
      <c r="AH5" s="3" t="str">
        <f>IF(JiraDataset[[#This Row],[RowType]]=cfg_type_skip,"",IFERROR(VLOOKUP(JiraDataset[[#This Row],[Assignee.Name]], Config!$A$4:$B$24, 2, FALSE), ""))</f>
        <v>someID</v>
      </c>
      <c r="AI5" s="3" t="str">
        <f>IF(JiraDataset[[#This Row],[RowType]]=cfg_type_skip,"",_xlfn.XLOOKUP("jira.project.key", CfgAutofieldValues[Name], CfgAutofieldValues[Value]))</f>
        <v>PRJ_KEY</v>
      </c>
      <c r="AJ5" s="3" cm="1">
        <f t="array" ref="AJ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5" s="3" t="str" cm="1">
        <f t="array" ref="AK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5" s="3"/>
    </row>
    <row r="6" spans="1:38" x14ac:dyDescent="0.25">
      <c r="A6" s="3" t="s">
        <v>88</v>
      </c>
      <c r="B6" s="3" t="s">
        <v>113</v>
      </c>
      <c r="C6" s="3" t="s">
        <v>120</v>
      </c>
      <c r="D6" s="3"/>
      <c r="E6" s="3" t="s">
        <v>162</v>
      </c>
      <c r="F6" s="3" t="str">
        <f>Config!$G$4</f>
        <v>JITTP Version 1</v>
      </c>
      <c r="G6" s="3" t="s">
        <v>107</v>
      </c>
      <c r="H6" s="3" t="s">
        <v>93</v>
      </c>
      <c r="I6" s="3"/>
      <c r="J6" s="3">
        <v>1</v>
      </c>
      <c r="K6" s="3" t="s">
        <v>224</v>
      </c>
      <c r="L6" s="3" t="s">
        <v>103</v>
      </c>
      <c r="M6" s="3">
        <v>4</v>
      </c>
      <c r="N6" s="3">
        <v>2</v>
      </c>
      <c r="O6" s="3"/>
      <c r="P6" s="3" t="str">
        <f>IF(JiraDataset[[#This Row],[IssueType]]="Epic",JiraDataset[[#This Row],[Summary]],"")</f>
        <v/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str">
        <f>IF(JiraDataset[[#This Row],[RowType]]=cfg_type_skip,"",IFERROR(VLOOKUP(JiraDataset[[#This Row],[Sprint Name]], Config!$D$4:$E$9, 2, FALSE), ""))</f>
        <v/>
      </c>
      <c r="AF6" s="3" t="str">
        <f>IF(JiraDataset[[#This Row],[RowType]]=cfg_type_skip,"",_xlfn.XLOOKUP("Creation Marker", CfgAutofieldValues[Name], CfgAutofieldValues[Value]))</f>
        <v>jt-imported</v>
      </c>
      <c r="AG6" s="8" t="str">
        <f>IF(JiraDataset[[#This Row],[RowType]]=cfg_type_skip,"",_xlfn.XLOOKUP("Feature Pod Label", CfgAutofieldValues[Name], CfgAutofieldValues[Value]))</f>
        <v>ft-group-1</v>
      </c>
      <c r="AH6" s="3" t="str">
        <f>IF(JiraDataset[[#This Row],[RowType]]=cfg_type_skip,"",IFERROR(VLOOKUP(JiraDataset[[#This Row],[Assignee.Name]], Config!$A$4:$B$24, 2, FALSE), ""))</f>
        <v>someID</v>
      </c>
      <c r="AI6" s="3" t="str">
        <f>IF(JiraDataset[[#This Row],[RowType]]=cfg_type_skip,"",_xlfn.XLOOKUP("jira.project.key", CfgAutofieldValues[Name], CfgAutofieldValues[Value]))</f>
        <v>PRJ_KEY</v>
      </c>
      <c r="AJ6" s="3" cm="1">
        <f t="array" ref="AJ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6912000</v>
      </c>
      <c r="AK6" s="3" t="str" cm="1">
        <f t="array" ref="AK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6" s="3"/>
    </row>
    <row r="7" spans="1:38" x14ac:dyDescent="0.25">
      <c r="A7" s="3" t="s">
        <v>42</v>
      </c>
      <c r="B7" s="3" t="s">
        <v>114</v>
      </c>
      <c r="C7" s="3" t="s">
        <v>121</v>
      </c>
      <c r="D7" s="3"/>
      <c r="E7" s="3" t="s">
        <v>163</v>
      </c>
      <c r="F7" s="3" t="str">
        <f>Config!$G$4</f>
        <v>JITTP Version 1</v>
      </c>
      <c r="G7" s="3" t="s">
        <v>108</v>
      </c>
      <c r="H7" s="3" t="s">
        <v>93</v>
      </c>
      <c r="I7" s="3"/>
      <c r="J7" s="3">
        <v>1</v>
      </c>
      <c r="K7" s="3" t="s">
        <v>224</v>
      </c>
      <c r="L7" s="3" t="s">
        <v>116</v>
      </c>
      <c r="M7" s="3">
        <v>5</v>
      </c>
      <c r="N7" s="3">
        <v>2</v>
      </c>
      <c r="O7" s="3"/>
      <c r="P7" s="3" t="str">
        <f>IF(JiraDataset[[#This Row],[IssueType]]="Epic",JiraDataset[[#This Row],[Summary]],"")</f>
        <v/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str">
        <f>IF(JiraDataset[[#This Row],[RowType]]=cfg_type_skip,"",IFERROR(VLOOKUP(JiraDataset[[#This Row],[Sprint Name]], Config!$D$4:$E$9, 2, FALSE), ""))</f>
        <v/>
      </c>
      <c r="AF7" s="3" t="str">
        <f>IF(JiraDataset[[#This Row],[RowType]]=cfg_type_skip,"",_xlfn.XLOOKUP("Creation Marker", CfgAutofieldValues[Name], CfgAutofieldValues[Value]))</f>
        <v>jt-imported</v>
      </c>
      <c r="AG7" s="8" t="str">
        <f>IF(JiraDataset[[#This Row],[RowType]]=cfg_type_skip,"",_xlfn.XLOOKUP("Feature Pod Label", CfgAutofieldValues[Name], CfgAutofieldValues[Value]))</f>
        <v>ft-group-1</v>
      </c>
      <c r="AH7" s="3" t="str">
        <f>IF(JiraDataset[[#This Row],[RowType]]=cfg_type_skip,"",IFERROR(VLOOKUP(JiraDataset[[#This Row],[Assignee.Name]], Config!$A$4:$B$24, 2, FALSE), ""))</f>
        <v>someID</v>
      </c>
      <c r="AI7" s="3" t="str">
        <f>IF(JiraDataset[[#This Row],[RowType]]=cfg_type_skip,"",_xlfn.XLOOKUP("jira.project.key", CfgAutofieldValues[Name], CfgAutofieldValues[Value]))</f>
        <v>PRJ_KEY</v>
      </c>
      <c r="AJ7" s="3" cm="1">
        <f t="array" ref="AJ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K7" s="3" t="str" cm="1">
        <f t="array" ref="AK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7" s="3"/>
    </row>
    <row r="8" spans="1:38" x14ac:dyDescent="0.25">
      <c r="A8" s="3" t="s">
        <v>48</v>
      </c>
      <c r="B8" s="3" t="s">
        <v>115</v>
      </c>
      <c r="C8" s="3" t="s">
        <v>122</v>
      </c>
      <c r="D8" s="3"/>
      <c r="E8" s="3" t="s">
        <v>164</v>
      </c>
      <c r="F8" s="3" t="str">
        <f>Config!$G$4</f>
        <v>JITTP Version 1</v>
      </c>
      <c r="G8" s="3" t="s">
        <v>106</v>
      </c>
      <c r="H8" s="3" t="s">
        <v>95</v>
      </c>
      <c r="I8" s="3"/>
      <c r="J8" s="3">
        <v>1</v>
      </c>
      <c r="K8" s="3" t="s">
        <v>224</v>
      </c>
      <c r="L8" s="3" t="s">
        <v>101</v>
      </c>
      <c r="M8" s="3">
        <v>6</v>
      </c>
      <c r="N8" s="3">
        <v>3</v>
      </c>
      <c r="O8" s="3"/>
      <c r="P8" s="3" t="str">
        <f>IF(JiraDataset[[#This Row],[IssueType]]="Epic",JiraDataset[[#This Row],[Summary]],"")</f>
        <v/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str">
        <f>IF(JiraDataset[[#This Row],[RowType]]=cfg_type_skip,"",IFERROR(VLOOKUP(JiraDataset[[#This Row],[Sprint Name]], Config!$D$4:$E$9, 2, FALSE), ""))</f>
        <v/>
      </c>
      <c r="AF8" s="3" t="str">
        <f>IF(JiraDataset[[#This Row],[RowType]]=cfg_type_skip,"",_xlfn.XLOOKUP("Creation Marker", CfgAutofieldValues[Name], CfgAutofieldValues[Value]))</f>
        <v>jt-imported</v>
      </c>
      <c r="AG8" s="8" t="str">
        <f>IF(JiraDataset[[#This Row],[RowType]]=cfg_type_skip,"",_xlfn.XLOOKUP("Feature Pod Label", CfgAutofieldValues[Name], CfgAutofieldValues[Value]))</f>
        <v>ft-group-1</v>
      </c>
      <c r="AH8" s="3" t="str">
        <f>IF(JiraDataset[[#This Row],[RowType]]=cfg_type_skip,"",IFERROR(VLOOKUP(JiraDataset[[#This Row],[Assignee.Name]], Config!$A$4:$B$24, 2, FALSE), ""))</f>
        <v>someID</v>
      </c>
      <c r="AI8" s="3" t="str">
        <f>IF(JiraDataset[[#This Row],[RowType]]=cfg_type_skip,"",_xlfn.XLOOKUP("jira.project.key", CfgAutofieldValues[Name], CfgAutofieldValues[Value]))</f>
        <v>PRJ_KEY</v>
      </c>
      <c r="AJ8" s="3" cm="1">
        <f t="array" ref="AJ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8" s="3" t="str" cm="1">
        <f t="array" ref="AK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8" s="3"/>
    </row>
    <row r="9" spans="1:38" x14ac:dyDescent="0.25">
      <c r="A9" s="3" t="s">
        <v>47</v>
      </c>
      <c r="B9" s="3" t="s">
        <v>37</v>
      </c>
      <c r="C9" s="3" t="s">
        <v>123</v>
      </c>
      <c r="D9" s="3"/>
      <c r="E9" s="3" t="s">
        <v>165</v>
      </c>
      <c r="F9" s="3" t="str">
        <f>Config!$G$4</f>
        <v>JITTP Version 1</v>
      </c>
      <c r="G9" s="3" t="s">
        <v>105</v>
      </c>
      <c r="H9" s="3" t="s">
        <v>97</v>
      </c>
      <c r="I9" s="3"/>
      <c r="J9" s="3">
        <v>1</v>
      </c>
      <c r="K9" s="3" t="s">
        <v>224</v>
      </c>
      <c r="L9" s="3">
        <v>1.1000000000000001</v>
      </c>
      <c r="M9" s="3">
        <v>7</v>
      </c>
      <c r="N9" s="3">
        <v>2</v>
      </c>
      <c r="O9" s="3"/>
      <c r="P9" s="3" t="str">
        <f>IF(JiraDataset[[#This Row],[IssueType]]="Epic",JiraDataset[[#This Row],[Summary]],"")</f>
        <v/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 t="str">
        <f>IF(JiraDataset[[#This Row],[RowType]]=cfg_type_skip,"",IFERROR(VLOOKUP(JiraDataset[[#This Row],[Sprint Name]], Config!$D$4:$E$9, 2, FALSE), ""))</f>
        <v/>
      </c>
      <c r="AF9" s="3" t="str">
        <f>IF(JiraDataset[[#This Row],[RowType]]=cfg_type_skip,"",_xlfn.XLOOKUP("Creation Marker", CfgAutofieldValues[Name], CfgAutofieldValues[Value]))</f>
        <v>jt-imported</v>
      </c>
      <c r="AG9" s="8" t="str">
        <f>IF(JiraDataset[[#This Row],[RowType]]=cfg_type_skip,"",_xlfn.XLOOKUP("Feature Pod Label", CfgAutofieldValues[Name], CfgAutofieldValues[Value]))</f>
        <v>ft-group-1</v>
      </c>
      <c r="AH9" s="3" t="str">
        <f>IF(JiraDataset[[#This Row],[RowType]]=cfg_type_skip,"",IFERROR(VLOOKUP(JiraDataset[[#This Row],[Assignee.Name]], Config!$A$4:$B$24, 2, FALSE), ""))</f>
        <v>someID</v>
      </c>
      <c r="AI9" s="3" t="str">
        <f>IF(JiraDataset[[#This Row],[RowType]]=cfg_type_skip,"",_xlfn.XLOOKUP("jira.project.key", CfgAutofieldValues[Name], CfgAutofieldValues[Value]))</f>
        <v>PRJ_KEY</v>
      </c>
      <c r="AJ9" s="3" t="str" cm="1">
        <f t="array" ref="AJ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/>
      </c>
      <c r="AK9" s="3" t="str" cm="1">
        <f t="array" ref="AK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9" s="3"/>
    </row>
    <row r="10" spans="1:38" x14ac:dyDescent="0.25">
      <c r="A10" s="3" t="s">
        <v>88</v>
      </c>
      <c r="B10" s="3" t="s">
        <v>112</v>
      </c>
      <c r="C10" s="3" t="s">
        <v>124</v>
      </c>
      <c r="D10" s="3"/>
      <c r="E10" s="3" t="s">
        <v>166</v>
      </c>
      <c r="F10" s="3" t="str">
        <f>Config!$G$4</f>
        <v>JITTP Version 1</v>
      </c>
      <c r="G10" s="3" t="s">
        <v>105</v>
      </c>
      <c r="H10" s="3" t="s">
        <v>94</v>
      </c>
      <c r="I10" s="3"/>
      <c r="J10" s="3">
        <v>1</v>
      </c>
      <c r="K10" s="3" t="s">
        <v>224</v>
      </c>
      <c r="L10" s="3" t="s">
        <v>98</v>
      </c>
      <c r="M10" s="3">
        <v>8</v>
      </c>
      <c r="N10" s="3">
        <v>7</v>
      </c>
      <c r="O10" s="3"/>
      <c r="P10" s="3" t="str">
        <f>IF(JiraDataset[[#This Row],[IssueType]]="Epic",JiraDataset[[#This Row],[Summary]],"")</f>
        <v/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str">
        <f>IF(JiraDataset[[#This Row],[RowType]]=cfg_type_skip,"",IFERROR(VLOOKUP(JiraDataset[[#This Row],[Sprint Name]], Config!$D$4:$E$9, 2, FALSE), ""))</f>
        <v/>
      </c>
      <c r="AF10" s="3" t="str">
        <f>IF(JiraDataset[[#This Row],[RowType]]=cfg_type_skip,"",_xlfn.XLOOKUP("Creation Marker", CfgAutofieldValues[Name], CfgAutofieldValues[Value]))</f>
        <v>jt-imported</v>
      </c>
      <c r="AG10" s="8" t="str">
        <f>IF(JiraDataset[[#This Row],[RowType]]=cfg_type_skip,"",_xlfn.XLOOKUP("Feature Pod Label", CfgAutofieldValues[Name], CfgAutofieldValues[Value]))</f>
        <v>ft-group-1</v>
      </c>
      <c r="AH10" s="3" t="str">
        <f>IF(JiraDataset[[#This Row],[RowType]]=cfg_type_skip,"",IFERROR(VLOOKUP(JiraDataset[[#This Row],[Assignee.Name]], Config!$A$4:$B$24, 2, FALSE), ""))</f>
        <v>someID</v>
      </c>
      <c r="AI10" s="3" t="str">
        <f>IF(JiraDataset[[#This Row],[RowType]]=cfg_type_skip,"",_xlfn.XLOOKUP("jira.project.key", CfgAutofieldValues[Name], CfgAutofieldValues[Value]))</f>
        <v>PRJ_KEY</v>
      </c>
      <c r="AJ10" s="3" cm="1">
        <f t="array" ref="AJ1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10" s="3" t="str" cm="1">
        <f t="array" ref="AK1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0" s="3"/>
    </row>
    <row r="11" spans="1:38" x14ac:dyDescent="0.25">
      <c r="A11" s="3" t="s">
        <v>38</v>
      </c>
      <c r="B11" s="3" t="s">
        <v>113</v>
      </c>
      <c r="C11" s="3" t="s">
        <v>125</v>
      </c>
      <c r="D11" s="3"/>
      <c r="E11" s="3" t="s">
        <v>167</v>
      </c>
      <c r="F11" s="3" t="str">
        <f>Config!$G$4</f>
        <v>JITTP Version 1</v>
      </c>
      <c r="G11" s="3" t="s">
        <v>107</v>
      </c>
      <c r="H11" s="3" t="s">
        <v>94</v>
      </c>
      <c r="I11" s="3"/>
      <c r="J11" s="3">
        <v>1</v>
      </c>
      <c r="K11" s="3" t="s">
        <v>224</v>
      </c>
      <c r="L11" s="3" t="s">
        <v>99</v>
      </c>
      <c r="M11" s="3">
        <v>9</v>
      </c>
      <c r="N11" s="3">
        <v>7</v>
      </c>
      <c r="O11" s="3"/>
      <c r="P11" s="3" t="str">
        <f>IF(JiraDataset[[#This Row],[IssueType]]="Epic",JiraDataset[[#This Row],[Summary]],"")</f>
        <v/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 t="str">
        <f>IF(JiraDataset[[#This Row],[RowType]]=cfg_type_skip,"",IFERROR(VLOOKUP(JiraDataset[[#This Row],[Sprint Name]], Config!$D$4:$E$9, 2, FALSE), ""))</f>
        <v/>
      </c>
      <c r="AF11" s="3" t="str">
        <f>IF(JiraDataset[[#This Row],[RowType]]=cfg_type_skip,"",_xlfn.XLOOKUP("Creation Marker", CfgAutofieldValues[Name], CfgAutofieldValues[Value]))</f>
        <v>jt-imported</v>
      </c>
      <c r="AG11" s="8" t="str">
        <f>IF(JiraDataset[[#This Row],[RowType]]=cfg_type_skip,"",_xlfn.XLOOKUP("Feature Pod Label", CfgAutofieldValues[Name], CfgAutofieldValues[Value]))</f>
        <v>ft-group-1</v>
      </c>
      <c r="AH11" s="3" t="str">
        <f>IF(JiraDataset[[#This Row],[RowType]]=cfg_type_skip,"",IFERROR(VLOOKUP(JiraDataset[[#This Row],[Assignee.Name]], Config!$A$4:$B$24, 2, FALSE), ""))</f>
        <v>someID</v>
      </c>
      <c r="AI11" s="3" t="str">
        <f>IF(JiraDataset[[#This Row],[RowType]]=cfg_type_skip,"",_xlfn.XLOOKUP("jira.project.key", CfgAutofieldValues[Name], CfgAutofieldValues[Value]))</f>
        <v>PRJ_KEY</v>
      </c>
      <c r="AJ11" s="3" cm="1">
        <f t="array" ref="AJ1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K11" s="3" t="str" cm="1">
        <f t="array" ref="AK1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1" s="3"/>
    </row>
    <row r="12" spans="1:38" x14ac:dyDescent="0.25">
      <c r="A12" s="3" t="s">
        <v>47</v>
      </c>
      <c r="B12" s="3" t="s">
        <v>114</v>
      </c>
      <c r="C12" s="3" t="s">
        <v>89</v>
      </c>
      <c r="D12" s="3"/>
      <c r="E12" s="3" t="s">
        <v>168</v>
      </c>
      <c r="F12" s="3" t="str">
        <f>Config!$G$4</f>
        <v>JITTP Version 1</v>
      </c>
      <c r="G12" s="3" t="s">
        <v>108</v>
      </c>
      <c r="H12" s="3" t="s">
        <v>94</v>
      </c>
      <c r="I12" s="3"/>
      <c r="J12" s="3">
        <v>1</v>
      </c>
      <c r="K12" s="3" t="s">
        <v>224</v>
      </c>
      <c r="L12" s="3" t="s">
        <v>100</v>
      </c>
      <c r="M12" s="3">
        <v>10</v>
      </c>
      <c r="N12" s="3">
        <v>7</v>
      </c>
      <c r="O12" s="3"/>
      <c r="P12" s="3" t="str">
        <f>IF(JiraDataset[[#This Row],[IssueType]]="Epic",JiraDataset[[#This Row],[Summary]],"")</f>
        <v/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str">
        <f>IF(JiraDataset[[#This Row],[RowType]]=cfg_type_skip,"",IFERROR(VLOOKUP(JiraDataset[[#This Row],[Sprint Name]], Config!$D$4:$E$9, 2, FALSE), ""))</f>
        <v/>
      </c>
      <c r="AF12" s="3" t="str">
        <f>IF(JiraDataset[[#This Row],[RowType]]=cfg_type_skip,"",_xlfn.XLOOKUP("Creation Marker", CfgAutofieldValues[Name], CfgAutofieldValues[Value]))</f>
        <v>jt-imported</v>
      </c>
      <c r="AG12" s="8" t="str">
        <f>IF(JiraDataset[[#This Row],[RowType]]=cfg_type_skip,"",_xlfn.XLOOKUP("Feature Pod Label", CfgAutofieldValues[Name], CfgAutofieldValues[Value]))</f>
        <v>ft-group-1</v>
      </c>
      <c r="AH12" s="3" t="str">
        <f>IF(JiraDataset[[#This Row],[RowType]]=cfg_type_skip,"",IFERROR(VLOOKUP(JiraDataset[[#This Row],[Assignee.Name]], Config!$A$4:$B$24, 2, FALSE), ""))</f>
        <v>someID</v>
      </c>
      <c r="AI12" s="3" t="str">
        <f>IF(JiraDataset[[#This Row],[RowType]]=cfg_type_skip,"",_xlfn.XLOOKUP("jira.project.key", CfgAutofieldValues[Name], CfgAutofieldValues[Value]))</f>
        <v>PRJ_KEY</v>
      </c>
      <c r="AJ12" s="3" cm="1">
        <f t="array" ref="AJ1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</v>
      </c>
      <c r="AK12" s="3" t="str" cm="1">
        <f t="array" ref="AK1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2" s="3"/>
    </row>
    <row r="13" spans="1:38" x14ac:dyDescent="0.25">
      <c r="A13" s="3" t="s">
        <v>42</v>
      </c>
      <c r="B13" s="3" t="s">
        <v>115</v>
      </c>
      <c r="C13" s="3" t="s">
        <v>126</v>
      </c>
      <c r="D13" s="3"/>
      <c r="E13" s="3" t="s">
        <v>169</v>
      </c>
      <c r="F13" s="3" t="str">
        <f>Config!$G$4</f>
        <v>JITTP Version 1</v>
      </c>
      <c r="G13" s="3" t="s">
        <v>106</v>
      </c>
      <c r="H13" s="3" t="s">
        <v>95</v>
      </c>
      <c r="I13" s="3"/>
      <c r="J13" s="3">
        <v>1</v>
      </c>
      <c r="K13" s="3" t="s">
        <v>224</v>
      </c>
      <c r="L13" s="3" t="s">
        <v>116</v>
      </c>
      <c r="M13" s="3">
        <v>11</v>
      </c>
      <c r="N13" s="3">
        <v>9</v>
      </c>
      <c r="O13" s="3"/>
      <c r="P13" s="3" t="str">
        <f>IF(JiraDataset[[#This Row],[IssueType]]="Epic",JiraDataset[[#This Row],[Summary]],"")</f>
        <v/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 t="str">
        <f>IF(JiraDataset[[#This Row],[RowType]]=cfg_type_skip,"",IFERROR(VLOOKUP(JiraDataset[[#This Row],[Sprint Name]], Config!$D$4:$E$9, 2, FALSE), ""))</f>
        <v/>
      </c>
      <c r="AF13" s="3" t="str">
        <f>IF(JiraDataset[[#This Row],[RowType]]=cfg_type_skip,"",_xlfn.XLOOKUP("Creation Marker", CfgAutofieldValues[Name], CfgAutofieldValues[Value]))</f>
        <v>jt-imported</v>
      </c>
      <c r="AG13" s="8" t="str">
        <f>IF(JiraDataset[[#This Row],[RowType]]=cfg_type_skip,"",_xlfn.XLOOKUP("Feature Pod Label", CfgAutofieldValues[Name], CfgAutofieldValues[Value]))</f>
        <v>ft-group-1</v>
      </c>
      <c r="AH13" s="3" t="str">
        <f>IF(JiraDataset[[#This Row],[RowType]]=cfg_type_skip,"",IFERROR(VLOOKUP(JiraDataset[[#This Row],[Assignee.Name]], Config!$A$4:$B$24, 2, FALSE), ""))</f>
        <v>someID</v>
      </c>
      <c r="AI13" s="3" t="str">
        <f>IF(JiraDataset[[#This Row],[RowType]]=cfg_type_skip,"",_xlfn.XLOOKUP("jira.project.key", CfgAutofieldValues[Name], CfgAutofieldValues[Value]))</f>
        <v>PRJ_KEY</v>
      </c>
      <c r="AJ13" s="3" cm="1">
        <f t="array" ref="AJ1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K13" s="3" t="str" cm="1">
        <f t="array" ref="AK1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3" s="3"/>
    </row>
    <row r="14" spans="1:38" x14ac:dyDescent="0.25">
      <c r="A14" s="3" t="s">
        <v>88</v>
      </c>
      <c r="B14" s="3" t="s">
        <v>111</v>
      </c>
      <c r="C14" s="3" t="s">
        <v>127</v>
      </c>
      <c r="D14" s="3"/>
      <c r="E14" s="3" t="s">
        <v>170</v>
      </c>
      <c r="F14" s="3" t="str">
        <f>Config!$G$4</f>
        <v>JITTP Version 1</v>
      </c>
      <c r="G14" s="3" t="s">
        <v>104</v>
      </c>
      <c r="H14" s="3" t="s">
        <v>155</v>
      </c>
      <c r="I14" s="3"/>
      <c r="J14" s="3">
        <v>1</v>
      </c>
      <c r="K14" s="3" t="s">
        <v>224</v>
      </c>
      <c r="L14" s="3" t="s">
        <v>84</v>
      </c>
      <c r="M14" s="3">
        <v>12</v>
      </c>
      <c r="N14" s="3">
        <v>1</v>
      </c>
      <c r="O14" s="3"/>
      <c r="P14" s="3" t="str">
        <f>IF(JiraDataset[[#This Row],[IssueType]]="Epic",JiraDataset[[#This Row],[Summary]],"")</f>
        <v>Payments &amp; Billing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str">
        <f>IF(JiraDataset[[#This Row],[RowType]]=cfg_type_skip,"",IFERROR(VLOOKUP(JiraDataset[[#This Row],[Sprint Name]], Config!$D$4:$E$9, 2, FALSE), ""))</f>
        <v/>
      </c>
      <c r="AF14" s="3" t="str">
        <f>IF(JiraDataset[[#This Row],[RowType]]=cfg_type_skip,"",_xlfn.XLOOKUP("Creation Marker", CfgAutofieldValues[Name], CfgAutofieldValues[Value]))</f>
        <v>jt-imported</v>
      </c>
      <c r="AG14" s="8" t="str">
        <f>IF(JiraDataset[[#This Row],[RowType]]=cfg_type_skip,"",_xlfn.XLOOKUP("Feature Pod Label", CfgAutofieldValues[Name], CfgAutofieldValues[Value]))</f>
        <v>ft-group-1</v>
      </c>
      <c r="AH14" s="3" t="str">
        <f>IF(JiraDataset[[#This Row],[RowType]]=cfg_type_skip,"",IFERROR(VLOOKUP(JiraDataset[[#This Row],[Assignee.Name]], Config!$A$4:$B$24, 2, FALSE), ""))</f>
        <v>someID</v>
      </c>
      <c r="AI14" s="3" t="str">
        <f>IF(JiraDataset[[#This Row],[RowType]]=cfg_type_skip,"",_xlfn.XLOOKUP("jira.project.key", CfgAutofieldValues[Name], CfgAutofieldValues[Value]))</f>
        <v>PRJ_KEY</v>
      </c>
      <c r="AJ14" s="3" cm="1">
        <f t="array" ref="AJ1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K14" s="3" t="str" cm="1">
        <f t="array" ref="AK1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4" s="3"/>
    </row>
    <row r="15" spans="1:38" x14ac:dyDescent="0.25">
      <c r="A15" s="3" t="s">
        <v>38</v>
      </c>
      <c r="B15" s="3" t="s">
        <v>112</v>
      </c>
      <c r="C15" s="3" t="s">
        <v>128</v>
      </c>
      <c r="D15" s="3"/>
      <c r="E15" s="3" t="s">
        <v>171</v>
      </c>
      <c r="F15" s="3" t="str">
        <f>Config!$G$4</f>
        <v>JITTP Version 1</v>
      </c>
      <c r="G15" s="3" t="s">
        <v>105</v>
      </c>
      <c r="H15" s="3" t="s">
        <v>94</v>
      </c>
      <c r="I15" s="3"/>
      <c r="J15" s="3">
        <v>1</v>
      </c>
      <c r="K15" s="3" t="s">
        <v>224</v>
      </c>
      <c r="L15" s="3" t="s">
        <v>98</v>
      </c>
      <c r="M15" s="3">
        <v>13</v>
      </c>
      <c r="N15" s="3">
        <v>12</v>
      </c>
      <c r="O15" s="3"/>
      <c r="P15" s="3" t="str">
        <f>IF(JiraDataset[[#This Row],[IssueType]]="Epic",JiraDataset[[#This Row],[Summary]],"")</f>
        <v/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str">
        <f>IF(JiraDataset[[#This Row],[RowType]]=cfg_type_skip,"",IFERROR(VLOOKUP(JiraDataset[[#This Row],[Sprint Name]], Config!$D$4:$E$9, 2, FALSE), ""))</f>
        <v/>
      </c>
      <c r="AF15" s="3" t="str">
        <f>IF(JiraDataset[[#This Row],[RowType]]=cfg_type_skip,"",_xlfn.XLOOKUP("Creation Marker", CfgAutofieldValues[Name], CfgAutofieldValues[Value]))</f>
        <v>jt-imported</v>
      </c>
      <c r="AG15" s="8" t="str">
        <f>IF(JiraDataset[[#This Row],[RowType]]=cfg_type_skip,"",_xlfn.XLOOKUP("Feature Pod Label", CfgAutofieldValues[Name], CfgAutofieldValues[Value]))</f>
        <v>ft-group-1</v>
      </c>
      <c r="AH15" s="3" t="str">
        <f>IF(JiraDataset[[#This Row],[RowType]]=cfg_type_skip,"",IFERROR(VLOOKUP(JiraDataset[[#This Row],[Assignee.Name]], Config!$A$4:$B$24, 2, FALSE), ""))</f>
        <v>someID</v>
      </c>
      <c r="AI15" s="3" t="str">
        <f>IF(JiraDataset[[#This Row],[RowType]]=cfg_type_skip,"",_xlfn.XLOOKUP("jira.project.key", CfgAutofieldValues[Name], CfgAutofieldValues[Value]))</f>
        <v>PRJ_KEY</v>
      </c>
      <c r="AJ15" s="3" cm="1">
        <f t="array" ref="AJ1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15" s="3" t="str" cm="1">
        <f t="array" ref="AK1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5" s="3"/>
    </row>
    <row r="16" spans="1:38" x14ac:dyDescent="0.25">
      <c r="A16" s="3" t="s">
        <v>48</v>
      </c>
      <c r="B16" s="3" t="s">
        <v>113</v>
      </c>
      <c r="C16" s="3" t="s">
        <v>129</v>
      </c>
      <c r="D16" s="3"/>
      <c r="E16" s="3" t="s">
        <v>172</v>
      </c>
      <c r="F16" s="3" t="str">
        <f>Config!$G$4</f>
        <v>JITTP Version 1</v>
      </c>
      <c r="G16" s="3" t="s">
        <v>107</v>
      </c>
      <c r="H16" s="3" t="s">
        <v>93</v>
      </c>
      <c r="I16" s="3"/>
      <c r="J16" s="3">
        <v>1</v>
      </c>
      <c r="K16" s="3" t="s">
        <v>224</v>
      </c>
      <c r="L16" s="3" t="s">
        <v>99</v>
      </c>
      <c r="M16" s="3">
        <v>14</v>
      </c>
      <c r="N16" s="3">
        <v>12</v>
      </c>
      <c r="O16" s="3"/>
      <c r="P16" s="3" t="str">
        <f>IF(JiraDataset[[#This Row],[IssueType]]="Epic",JiraDataset[[#This Row],[Summary]],"")</f>
        <v/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tr">
        <f>IF(JiraDataset[[#This Row],[RowType]]=cfg_type_skip,"",IFERROR(VLOOKUP(JiraDataset[[#This Row],[Sprint Name]], Config!$D$4:$E$9, 2, FALSE), ""))</f>
        <v/>
      </c>
      <c r="AF16" s="3" t="str">
        <f>IF(JiraDataset[[#This Row],[RowType]]=cfg_type_skip,"",_xlfn.XLOOKUP("Creation Marker", CfgAutofieldValues[Name], CfgAutofieldValues[Value]))</f>
        <v>jt-imported</v>
      </c>
      <c r="AG16" s="8" t="str">
        <f>IF(JiraDataset[[#This Row],[RowType]]=cfg_type_skip,"",_xlfn.XLOOKUP("Feature Pod Label", CfgAutofieldValues[Name], CfgAutofieldValues[Value]))</f>
        <v>ft-group-1</v>
      </c>
      <c r="AH16" s="3" t="str">
        <f>IF(JiraDataset[[#This Row],[RowType]]=cfg_type_skip,"",IFERROR(VLOOKUP(JiraDataset[[#This Row],[Assignee.Name]], Config!$A$4:$B$24, 2, FALSE), ""))</f>
        <v>someID</v>
      </c>
      <c r="AI16" s="3" t="str">
        <f>IF(JiraDataset[[#This Row],[RowType]]=cfg_type_skip,"",_xlfn.XLOOKUP("jira.project.key", CfgAutofieldValues[Name], CfgAutofieldValues[Value]))</f>
        <v>PRJ_KEY</v>
      </c>
      <c r="AJ16" s="3" cm="1">
        <f t="array" ref="AJ1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K16" s="3" t="str" cm="1">
        <f t="array" ref="AK1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6" s="3"/>
    </row>
    <row r="17" spans="1:38" x14ac:dyDescent="0.25">
      <c r="A17" s="3" t="s">
        <v>49</v>
      </c>
      <c r="B17" s="3" t="s">
        <v>114</v>
      </c>
      <c r="C17" s="3" t="s">
        <v>130</v>
      </c>
      <c r="D17" s="3"/>
      <c r="E17" s="3" t="s">
        <v>173</v>
      </c>
      <c r="F17" s="3" t="str">
        <f>Config!$G$4</f>
        <v>JITTP Version 1</v>
      </c>
      <c r="G17" s="3" t="s">
        <v>108</v>
      </c>
      <c r="H17" s="3" t="s">
        <v>93</v>
      </c>
      <c r="I17" s="3"/>
      <c r="J17" s="3">
        <v>1</v>
      </c>
      <c r="K17" s="3" t="s">
        <v>224</v>
      </c>
      <c r="L17" s="3" t="s">
        <v>101</v>
      </c>
      <c r="M17" s="3">
        <v>15</v>
      </c>
      <c r="N17" s="3">
        <v>12</v>
      </c>
      <c r="O17" s="3"/>
      <c r="P17" s="3" t="str">
        <f>IF(JiraDataset[[#This Row],[IssueType]]="Epic",JiraDataset[[#This Row],[Summary]],"")</f>
        <v/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 t="str">
        <f>IF(JiraDataset[[#This Row],[RowType]]=cfg_type_skip,"",IFERROR(VLOOKUP(JiraDataset[[#This Row],[Sprint Name]], Config!$D$4:$E$9, 2, FALSE), ""))</f>
        <v/>
      </c>
      <c r="AF17" s="3" t="str">
        <f>IF(JiraDataset[[#This Row],[RowType]]=cfg_type_skip,"",_xlfn.XLOOKUP("Creation Marker", CfgAutofieldValues[Name], CfgAutofieldValues[Value]))</f>
        <v>jt-imported</v>
      </c>
      <c r="AG17" s="8" t="str">
        <f>IF(JiraDataset[[#This Row],[RowType]]=cfg_type_skip,"",_xlfn.XLOOKUP("Feature Pod Label", CfgAutofieldValues[Name], CfgAutofieldValues[Value]))</f>
        <v>ft-group-1</v>
      </c>
      <c r="AH17" s="3" t="str">
        <f>IF(JiraDataset[[#This Row],[RowType]]=cfg_type_skip,"",IFERROR(VLOOKUP(JiraDataset[[#This Row],[Assignee.Name]], Config!$A$4:$B$24, 2, FALSE), ""))</f>
        <v>someID</v>
      </c>
      <c r="AI17" s="3" t="str">
        <f>IF(JiraDataset[[#This Row],[RowType]]=cfg_type_skip,"",_xlfn.XLOOKUP("jira.project.key", CfgAutofieldValues[Name], CfgAutofieldValues[Value]))</f>
        <v>PRJ_KEY</v>
      </c>
      <c r="AJ17" s="3" cm="1">
        <f t="array" ref="AJ1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17" s="3" t="str" cm="1">
        <f t="array" ref="AK1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7" s="3"/>
    </row>
    <row r="18" spans="1:38" x14ac:dyDescent="0.25">
      <c r="A18" s="3" t="s">
        <v>38</v>
      </c>
      <c r="B18" s="3" t="s">
        <v>115</v>
      </c>
      <c r="C18" s="3" t="s">
        <v>131</v>
      </c>
      <c r="D18" s="3"/>
      <c r="E18" s="3" t="s">
        <v>174</v>
      </c>
      <c r="F18" s="3" t="str">
        <f>Config!$G$4</f>
        <v>JITTP Version 1</v>
      </c>
      <c r="G18" s="3" t="s">
        <v>106</v>
      </c>
      <c r="H18" s="3" t="s">
        <v>95</v>
      </c>
      <c r="I18" s="3"/>
      <c r="J18" s="3">
        <v>1</v>
      </c>
      <c r="K18" s="3" t="s">
        <v>224</v>
      </c>
      <c r="L18" s="3" t="s">
        <v>101</v>
      </c>
      <c r="M18" s="3">
        <v>16</v>
      </c>
      <c r="N18" s="3">
        <v>13</v>
      </c>
      <c r="O18" s="3"/>
      <c r="P18" s="3" t="str">
        <f>IF(JiraDataset[[#This Row],[IssueType]]="Epic",JiraDataset[[#This Row],[Summary]],"")</f>
        <v/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 t="str">
        <f>IF(JiraDataset[[#This Row],[RowType]]=cfg_type_skip,"",IFERROR(VLOOKUP(JiraDataset[[#This Row],[Sprint Name]], Config!$D$4:$E$9, 2, FALSE), ""))</f>
        <v/>
      </c>
      <c r="AF18" s="3" t="str">
        <f>IF(JiraDataset[[#This Row],[RowType]]=cfg_type_skip,"",_xlfn.XLOOKUP("Creation Marker", CfgAutofieldValues[Name], CfgAutofieldValues[Value]))</f>
        <v>jt-imported</v>
      </c>
      <c r="AG18" s="8" t="str">
        <f>IF(JiraDataset[[#This Row],[RowType]]=cfg_type_skip,"",_xlfn.XLOOKUP("Feature Pod Label", CfgAutofieldValues[Name], CfgAutofieldValues[Value]))</f>
        <v>ft-group-1</v>
      </c>
      <c r="AH18" s="3" t="str">
        <f>IF(JiraDataset[[#This Row],[RowType]]=cfg_type_skip,"",IFERROR(VLOOKUP(JiraDataset[[#This Row],[Assignee.Name]], Config!$A$4:$B$24, 2, FALSE), ""))</f>
        <v>someID</v>
      </c>
      <c r="AI18" s="3" t="str">
        <f>IF(JiraDataset[[#This Row],[RowType]]=cfg_type_skip,"",_xlfn.XLOOKUP("jira.project.key", CfgAutofieldValues[Name], CfgAutofieldValues[Value]))</f>
        <v>PRJ_KEY</v>
      </c>
      <c r="AJ18" s="3" cm="1">
        <f t="array" ref="AJ1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18" s="3" t="str" cm="1">
        <f t="array" ref="AK1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8" s="3"/>
    </row>
    <row r="19" spans="1:38" x14ac:dyDescent="0.25">
      <c r="A19" s="3" t="s">
        <v>88</v>
      </c>
      <c r="B19" s="3" t="s">
        <v>110</v>
      </c>
      <c r="C19" s="3" t="s">
        <v>132</v>
      </c>
      <c r="D19" s="3"/>
      <c r="E19" s="3" t="s">
        <v>175</v>
      </c>
      <c r="F19" s="3" t="str">
        <f>Config!$G$4</f>
        <v>JITTP Version 1</v>
      </c>
      <c r="G19" s="3" t="s">
        <v>104</v>
      </c>
      <c r="H19" s="3" t="s">
        <v>156</v>
      </c>
      <c r="I19" s="3"/>
      <c r="J19" s="3">
        <v>1</v>
      </c>
      <c r="K19" s="3" t="s">
        <v>224</v>
      </c>
      <c r="L19" s="3" t="s">
        <v>102</v>
      </c>
      <c r="M19" s="3">
        <v>17</v>
      </c>
      <c r="N19" s="3"/>
      <c r="O19" s="3"/>
      <c r="P19" s="3" t="str">
        <f>IF(JiraDataset[[#This Row],[IssueType]]="Epic",JiraDataset[[#This Row],[Summary]],"")</f>
        <v/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tr">
        <f>IF(JiraDataset[[#This Row],[RowType]]=cfg_type_skip,"",IFERROR(VLOOKUP(JiraDataset[[#This Row],[Sprint Name]], Config!$D$4:$E$9, 2, FALSE), ""))</f>
        <v/>
      </c>
      <c r="AF19" s="3" t="str">
        <f>IF(JiraDataset[[#This Row],[RowType]]=cfg_type_skip,"",_xlfn.XLOOKUP("Creation Marker", CfgAutofieldValues[Name], CfgAutofieldValues[Value]))</f>
        <v>jt-imported</v>
      </c>
      <c r="AG19" s="8" t="str">
        <f>IF(JiraDataset[[#This Row],[RowType]]=cfg_type_skip,"",_xlfn.XLOOKUP("Feature Pod Label", CfgAutofieldValues[Name], CfgAutofieldValues[Value]))</f>
        <v>ft-group-1</v>
      </c>
      <c r="AH19" s="3" t="str">
        <f>IF(JiraDataset[[#This Row],[RowType]]=cfg_type_skip,"",IFERROR(VLOOKUP(JiraDataset[[#This Row],[Assignee.Name]], Config!$A$4:$B$24, 2, FALSE), ""))</f>
        <v>someID</v>
      </c>
      <c r="AI19" s="3" t="str">
        <f>IF(JiraDataset[[#This Row],[RowType]]=cfg_type_skip,"",_xlfn.XLOOKUP("jira.project.key", CfgAutofieldValues[Name], CfgAutofieldValues[Value]))</f>
        <v>PRJ_KEY</v>
      </c>
      <c r="AJ19" s="3" cm="1">
        <f t="array" ref="AJ1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17280000</v>
      </c>
      <c r="AK19" s="3" t="str" cm="1">
        <f t="array" ref="AK1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19" s="3"/>
    </row>
    <row r="20" spans="1:38" x14ac:dyDescent="0.25">
      <c r="A20" s="3" t="s">
        <v>38</v>
      </c>
      <c r="B20" s="3" t="s">
        <v>111</v>
      </c>
      <c r="C20" s="3" t="s">
        <v>133</v>
      </c>
      <c r="D20" s="3"/>
      <c r="E20" s="3" t="s">
        <v>176</v>
      </c>
      <c r="F20" s="3" t="str">
        <f>Config!$G$4</f>
        <v>JITTP Version 1</v>
      </c>
      <c r="G20" s="3" t="s">
        <v>105</v>
      </c>
      <c r="H20" s="3" t="s">
        <v>93</v>
      </c>
      <c r="I20" s="3"/>
      <c r="J20" s="3">
        <v>1</v>
      </c>
      <c r="K20" s="3" t="s">
        <v>224</v>
      </c>
      <c r="L20" s="3" t="s">
        <v>84</v>
      </c>
      <c r="M20" s="3">
        <v>18</v>
      </c>
      <c r="N20" s="3">
        <v>17</v>
      </c>
      <c r="O20" s="3"/>
      <c r="P20" s="3" t="str">
        <f>IF(JiraDataset[[#This Row],[IssueType]]="Epic",JiraDataset[[#This Row],[Summary]],"")</f>
        <v>Mobile App UX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 t="str">
        <f>IF(JiraDataset[[#This Row],[RowType]]=cfg_type_skip,"",IFERROR(VLOOKUP(JiraDataset[[#This Row],[Sprint Name]], Config!$D$4:$E$9, 2, FALSE), ""))</f>
        <v/>
      </c>
      <c r="AF20" s="3" t="str">
        <f>IF(JiraDataset[[#This Row],[RowType]]=cfg_type_skip,"",_xlfn.XLOOKUP("Creation Marker", CfgAutofieldValues[Name], CfgAutofieldValues[Value]))</f>
        <v>jt-imported</v>
      </c>
      <c r="AG20" s="8" t="str">
        <f>IF(JiraDataset[[#This Row],[RowType]]=cfg_type_skip,"",_xlfn.XLOOKUP("Feature Pod Label", CfgAutofieldValues[Name], CfgAutofieldValues[Value]))</f>
        <v>ft-group-1</v>
      </c>
      <c r="AH20" s="3" t="str">
        <f>IF(JiraDataset[[#This Row],[RowType]]=cfg_type_skip,"",IFERROR(VLOOKUP(JiraDataset[[#This Row],[Assignee.Name]], Config!$A$4:$B$24, 2, FALSE), ""))</f>
        <v>someID</v>
      </c>
      <c r="AI20" s="3" t="str">
        <f>IF(JiraDataset[[#This Row],[RowType]]=cfg_type_skip,"",_xlfn.XLOOKUP("jira.project.key", CfgAutofieldValues[Name], CfgAutofieldValues[Value]))</f>
        <v>PRJ_KEY</v>
      </c>
      <c r="AJ20" s="3" cm="1">
        <f t="array" ref="AJ2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K20" s="3" t="str" cm="1">
        <f t="array" ref="AK2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0" s="3"/>
    </row>
    <row r="21" spans="1:38" x14ac:dyDescent="0.25">
      <c r="A21" s="3" t="s">
        <v>47</v>
      </c>
      <c r="B21" s="3" t="s">
        <v>112</v>
      </c>
      <c r="C21" s="3" t="s">
        <v>92</v>
      </c>
      <c r="D21" s="3"/>
      <c r="E21" s="3" t="s">
        <v>177</v>
      </c>
      <c r="F21" s="3" t="str">
        <f>Config!$G$4</f>
        <v>JITTP Version 1</v>
      </c>
      <c r="G21" s="3" t="s">
        <v>107</v>
      </c>
      <c r="H21" s="3" t="s">
        <v>93</v>
      </c>
      <c r="I21" s="3"/>
      <c r="J21" s="3">
        <v>1</v>
      </c>
      <c r="K21" s="3" t="s">
        <v>224</v>
      </c>
      <c r="L21" s="3" t="s">
        <v>98</v>
      </c>
      <c r="M21" s="3">
        <v>19</v>
      </c>
      <c r="N21" s="3">
        <v>18</v>
      </c>
      <c r="O21" s="3"/>
      <c r="P21" s="3" t="str">
        <f>IF(JiraDataset[[#This Row],[IssueType]]="Epic",JiraDataset[[#This Row],[Summary]],"")</f>
        <v/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 t="str">
        <f>IF(JiraDataset[[#This Row],[RowType]]=cfg_type_skip,"",IFERROR(VLOOKUP(JiraDataset[[#This Row],[Sprint Name]], Config!$D$4:$E$9, 2, FALSE), ""))</f>
        <v/>
      </c>
      <c r="AF21" s="3" t="str">
        <f>IF(JiraDataset[[#This Row],[RowType]]=cfg_type_skip,"",_xlfn.XLOOKUP("Creation Marker", CfgAutofieldValues[Name], CfgAutofieldValues[Value]))</f>
        <v>jt-imported</v>
      </c>
      <c r="AG21" s="8" t="str">
        <f>IF(JiraDataset[[#This Row],[RowType]]=cfg_type_skip,"",_xlfn.XLOOKUP("Feature Pod Label", CfgAutofieldValues[Name], CfgAutofieldValues[Value]))</f>
        <v>ft-group-1</v>
      </c>
      <c r="AH21" s="3" t="str">
        <f>IF(JiraDataset[[#This Row],[RowType]]=cfg_type_skip,"",IFERROR(VLOOKUP(JiraDataset[[#This Row],[Assignee.Name]], Config!$A$4:$B$24, 2, FALSE), ""))</f>
        <v>someID</v>
      </c>
      <c r="AI21" s="3" t="str">
        <f>IF(JiraDataset[[#This Row],[RowType]]=cfg_type_skip,"",_xlfn.XLOOKUP("jira.project.key", CfgAutofieldValues[Name], CfgAutofieldValues[Value]))</f>
        <v>PRJ_KEY</v>
      </c>
      <c r="AJ21" s="3" cm="1">
        <f t="array" ref="AJ2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21" s="3" t="str" cm="1">
        <f t="array" ref="AK2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1" s="3"/>
    </row>
    <row r="22" spans="1:38" x14ac:dyDescent="0.25">
      <c r="A22" s="3" t="s">
        <v>88</v>
      </c>
      <c r="B22" s="3" t="s">
        <v>113</v>
      </c>
      <c r="C22" s="3" t="s">
        <v>134</v>
      </c>
      <c r="D22" s="3"/>
      <c r="E22" s="3" t="s">
        <v>178</v>
      </c>
      <c r="F22" s="3" t="str">
        <f>Config!$G$4</f>
        <v>JITTP Version 1</v>
      </c>
      <c r="G22" s="3" t="s">
        <v>108</v>
      </c>
      <c r="H22" s="3" t="s">
        <v>93</v>
      </c>
      <c r="I22" s="3"/>
      <c r="J22" s="3">
        <v>1</v>
      </c>
      <c r="K22" s="3" t="s">
        <v>224</v>
      </c>
      <c r="L22" s="3" t="s">
        <v>99</v>
      </c>
      <c r="M22" s="3">
        <v>20</v>
      </c>
      <c r="N22" s="3">
        <v>18</v>
      </c>
      <c r="O22" s="3"/>
      <c r="P22" s="3" t="str">
        <f>IF(JiraDataset[[#This Row],[IssueType]]="Epic",JiraDataset[[#This Row],[Summary]],"")</f>
        <v/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 t="str">
        <f>IF(JiraDataset[[#This Row],[RowType]]=cfg_type_skip,"",IFERROR(VLOOKUP(JiraDataset[[#This Row],[Sprint Name]], Config!$D$4:$E$9, 2, FALSE), ""))</f>
        <v/>
      </c>
      <c r="AF22" s="3" t="str">
        <f>IF(JiraDataset[[#This Row],[RowType]]=cfg_type_skip,"",_xlfn.XLOOKUP("Creation Marker", CfgAutofieldValues[Name], CfgAutofieldValues[Value]))</f>
        <v>jt-imported</v>
      </c>
      <c r="AG22" s="8" t="str">
        <f>IF(JiraDataset[[#This Row],[RowType]]=cfg_type_skip,"",_xlfn.XLOOKUP("Feature Pod Label", CfgAutofieldValues[Name], CfgAutofieldValues[Value]))</f>
        <v>ft-group-1</v>
      </c>
      <c r="AH22" s="3" t="str">
        <f>IF(JiraDataset[[#This Row],[RowType]]=cfg_type_skip,"",IFERROR(VLOOKUP(JiraDataset[[#This Row],[Assignee.Name]], Config!$A$4:$B$24, 2, FALSE), ""))</f>
        <v>someID</v>
      </c>
      <c r="AI22" s="3" t="str">
        <f>IF(JiraDataset[[#This Row],[RowType]]=cfg_type_skip,"",_xlfn.XLOOKUP("jira.project.key", CfgAutofieldValues[Name], CfgAutofieldValues[Value]))</f>
        <v>PRJ_KEY</v>
      </c>
      <c r="AJ22" s="3" cm="1">
        <f t="array" ref="AJ2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K22" s="3" t="str" cm="1">
        <f t="array" ref="AK2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2" s="3"/>
    </row>
    <row r="23" spans="1:38" x14ac:dyDescent="0.25">
      <c r="A23" s="3" t="s">
        <v>42</v>
      </c>
      <c r="B23" s="3" t="s">
        <v>114</v>
      </c>
      <c r="C23" s="3" t="s">
        <v>135</v>
      </c>
      <c r="D23" s="3"/>
      <c r="E23" s="3" t="s">
        <v>179</v>
      </c>
      <c r="F23" s="3" t="str">
        <f>Config!$G$4</f>
        <v>JITTP Version 1</v>
      </c>
      <c r="G23" s="3" t="s">
        <v>106</v>
      </c>
      <c r="H23" s="3" t="s">
        <v>93</v>
      </c>
      <c r="I23" s="3"/>
      <c r="J23" s="3">
        <v>1</v>
      </c>
      <c r="K23" s="3" t="s">
        <v>224</v>
      </c>
      <c r="L23" s="3" t="s">
        <v>116</v>
      </c>
      <c r="M23" s="3">
        <v>21</v>
      </c>
      <c r="N23" s="3">
        <v>18</v>
      </c>
      <c r="O23" s="3"/>
      <c r="P23" s="3" t="str">
        <f>IF(JiraDataset[[#This Row],[IssueType]]="Epic",JiraDataset[[#This Row],[Summary]],"")</f>
        <v/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 t="str">
        <f>IF(JiraDataset[[#This Row],[RowType]]=cfg_type_skip,"",IFERROR(VLOOKUP(JiraDataset[[#This Row],[Sprint Name]], Config!$D$4:$E$9, 2, FALSE), ""))</f>
        <v/>
      </c>
      <c r="AF23" s="3" t="str">
        <f>IF(JiraDataset[[#This Row],[RowType]]=cfg_type_skip,"",_xlfn.XLOOKUP("Creation Marker", CfgAutofieldValues[Name], CfgAutofieldValues[Value]))</f>
        <v>jt-imported</v>
      </c>
      <c r="AG23" s="8" t="str">
        <f>IF(JiraDataset[[#This Row],[RowType]]=cfg_type_skip,"",_xlfn.XLOOKUP("Feature Pod Label", CfgAutofieldValues[Name], CfgAutofieldValues[Value]))</f>
        <v>ft-group-1</v>
      </c>
      <c r="AH23" s="3" t="str">
        <f>IF(JiraDataset[[#This Row],[RowType]]=cfg_type_skip,"",IFERROR(VLOOKUP(JiraDataset[[#This Row],[Assignee.Name]], Config!$A$4:$B$24, 2, FALSE), ""))</f>
        <v>someID</v>
      </c>
      <c r="AI23" s="3" t="str">
        <f>IF(JiraDataset[[#This Row],[RowType]]=cfg_type_skip,"",_xlfn.XLOOKUP("jira.project.key", CfgAutofieldValues[Name], CfgAutofieldValues[Value]))</f>
        <v>PRJ_KEY</v>
      </c>
      <c r="AJ23" s="3" cm="1">
        <f t="array" ref="AJ2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K23" s="3" t="str" cm="1">
        <f t="array" ref="AK2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3" s="3"/>
    </row>
    <row r="24" spans="1:38" x14ac:dyDescent="0.25">
      <c r="A24" s="3" t="s">
        <v>48</v>
      </c>
      <c r="B24" s="3" t="s">
        <v>115</v>
      </c>
      <c r="C24" s="3" t="s">
        <v>136</v>
      </c>
      <c r="D24" s="3"/>
      <c r="E24" s="3" t="s">
        <v>180</v>
      </c>
      <c r="F24" s="3" t="str">
        <f>Config!$G$4</f>
        <v>JITTP Version 1</v>
      </c>
      <c r="G24" s="3" t="s">
        <v>104</v>
      </c>
      <c r="H24" s="3" t="s">
        <v>95</v>
      </c>
      <c r="I24" s="3"/>
      <c r="J24" s="3">
        <v>1</v>
      </c>
      <c r="K24" s="3" t="s">
        <v>224</v>
      </c>
      <c r="L24" s="3" t="s">
        <v>101</v>
      </c>
      <c r="M24" s="3">
        <v>22</v>
      </c>
      <c r="N24" s="3">
        <v>21</v>
      </c>
      <c r="O24" s="3"/>
      <c r="P24" s="3" t="str">
        <f>IF(JiraDataset[[#This Row],[IssueType]]="Epic",JiraDataset[[#This Row],[Summary]],"")</f>
        <v/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 t="str">
        <f>IF(JiraDataset[[#This Row],[RowType]]=cfg_type_skip,"",IFERROR(VLOOKUP(JiraDataset[[#This Row],[Sprint Name]], Config!$D$4:$E$9, 2, FALSE), ""))</f>
        <v/>
      </c>
      <c r="AF24" s="3" t="str">
        <f>IF(JiraDataset[[#This Row],[RowType]]=cfg_type_skip,"",_xlfn.XLOOKUP("Creation Marker", CfgAutofieldValues[Name], CfgAutofieldValues[Value]))</f>
        <v>jt-imported</v>
      </c>
      <c r="AG24" s="8" t="str">
        <f>IF(JiraDataset[[#This Row],[RowType]]=cfg_type_skip,"",_xlfn.XLOOKUP("Feature Pod Label", CfgAutofieldValues[Name], CfgAutofieldValues[Value]))</f>
        <v>ft-group-1</v>
      </c>
      <c r="AH24" s="3" t="str">
        <f>IF(JiraDataset[[#This Row],[RowType]]=cfg_type_skip,"",IFERROR(VLOOKUP(JiraDataset[[#This Row],[Assignee.Name]], Config!$A$4:$B$24, 2, FALSE), ""))</f>
        <v>someID</v>
      </c>
      <c r="AI24" s="3" t="str">
        <f>IF(JiraDataset[[#This Row],[RowType]]=cfg_type_skip,"",_xlfn.XLOOKUP("jira.project.key", CfgAutofieldValues[Name], CfgAutofieldValues[Value]))</f>
        <v>PRJ_KEY</v>
      </c>
      <c r="AJ24" s="3" cm="1">
        <f t="array" ref="AJ2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24" s="3" t="str" cm="1">
        <f t="array" ref="AK2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4" s="3"/>
    </row>
    <row r="25" spans="1:38" x14ac:dyDescent="0.25">
      <c r="A25" s="3" t="s">
        <v>49</v>
      </c>
      <c r="B25" s="3" t="s">
        <v>111</v>
      </c>
      <c r="C25" s="3" t="s">
        <v>137</v>
      </c>
      <c r="D25" s="3"/>
      <c r="E25" s="3" t="s">
        <v>181</v>
      </c>
      <c r="F25" s="3" t="str">
        <f>Config!$G$4</f>
        <v>JITTP Version 1</v>
      </c>
      <c r="G25" s="3" t="s">
        <v>105</v>
      </c>
      <c r="H25" s="3" t="s">
        <v>97</v>
      </c>
      <c r="I25" s="3"/>
      <c r="J25" s="3">
        <v>1</v>
      </c>
      <c r="K25" s="3" t="s">
        <v>224</v>
      </c>
      <c r="L25" s="3" t="s">
        <v>84</v>
      </c>
      <c r="M25" s="3">
        <v>23</v>
      </c>
      <c r="N25" s="3">
        <v>17</v>
      </c>
      <c r="O25" s="3"/>
      <c r="P25" s="3" t="str">
        <f>IF(JiraDataset[[#This Row],[IssueType]]="Epic",JiraDataset[[#This Row],[Summary]],"")</f>
        <v>Admin &amp; Permissions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 t="str">
        <f>IF(JiraDataset[[#This Row],[RowType]]=cfg_type_skip,"",IFERROR(VLOOKUP(JiraDataset[[#This Row],[Sprint Name]], Config!$D$4:$E$9, 2, FALSE), ""))</f>
        <v/>
      </c>
      <c r="AF25" s="3" t="str">
        <f>IF(JiraDataset[[#This Row],[RowType]]=cfg_type_skip,"",_xlfn.XLOOKUP("Creation Marker", CfgAutofieldValues[Name], CfgAutofieldValues[Value]))</f>
        <v>jt-imported</v>
      </c>
      <c r="AG25" s="8" t="str">
        <f>IF(JiraDataset[[#This Row],[RowType]]=cfg_type_skip,"",_xlfn.XLOOKUP("Feature Pod Label", CfgAutofieldValues[Name], CfgAutofieldValues[Value]))</f>
        <v>ft-group-1</v>
      </c>
      <c r="AH25" s="3" t="str">
        <f>IF(JiraDataset[[#This Row],[RowType]]=cfg_type_skip,"",IFERROR(VLOOKUP(JiraDataset[[#This Row],[Assignee.Name]], Config!$A$4:$B$24, 2, FALSE), ""))</f>
        <v>someID</v>
      </c>
      <c r="AI25" s="3" t="str">
        <f>IF(JiraDataset[[#This Row],[RowType]]=cfg_type_skip,"",_xlfn.XLOOKUP("jira.project.key", CfgAutofieldValues[Name], CfgAutofieldValues[Value]))</f>
        <v>PRJ_KEY</v>
      </c>
      <c r="AJ25" s="3" cm="1">
        <f t="array" ref="AJ2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K25" s="3" t="str" cm="1">
        <f t="array" ref="AK2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5" s="3"/>
    </row>
    <row r="26" spans="1:38" x14ac:dyDescent="0.25">
      <c r="A26" s="3" t="s">
        <v>88</v>
      </c>
      <c r="B26" s="3" t="s">
        <v>112</v>
      </c>
      <c r="C26" s="3" t="s">
        <v>138</v>
      </c>
      <c r="D26" s="3"/>
      <c r="E26" s="3" t="s">
        <v>182</v>
      </c>
      <c r="F26" s="3" t="str">
        <f>Config!$G$4</f>
        <v>JITTP Version 1</v>
      </c>
      <c r="G26" s="3" t="s">
        <v>107</v>
      </c>
      <c r="H26" s="3" t="s">
        <v>94</v>
      </c>
      <c r="I26" s="3"/>
      <c r="J26" s="3">
        <v>1</v>
      </c>
      <c r="K26" s="3" t="s">
        <v>224</v>
      </c>
      <c r="L26" s="3" t="s">
        <v>99</v>
      </c>
      <c r="M26" s="3">
        <v>24</v>
      </c>
      <c r="N26" s="3">
        <v>23</v>
      </c>
      <c r="O26" s="3"/>
      <c r="P26" s="3" t="str">
        <f>IF(JiraDataset[[#This Row],[IssueType]]="Epic",JiraDataset[[#This Row],[Summary]],"")</f>
        <v/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 t="str">
        <f>IF(JiraDataset[[#This Row],[RowType]]=cfg_type_skip,"",IFERROR(VLOOKUP(JiraDataset[[#This Row],[Sprint Name]], Config!$D$4:$E$9, 2, FALSE), ""))</f>
        <v/>
      </c>
      <c r="AF26" s="3" t="str">
        <f>IF(JiraDataset[[#This Row],[RowType]]=cfg_type_skip,"",_xlfn.XLOOKUP("Creation Marker", CfgAutofieldValues[Name], CfgAutofieldValues[Value]))</f>
        <v>jt-imported</v>
      </c>
      <c r="AG26" s="8" t="str">
        <f>IF(JiraDataset[[#This Row],[RowType]]=cfg_type_skip,"",_xlfn.XLOOKUP("Feature Pod Label", CfgAutofieldValues[Name], CfgAutofieldValues[Value]))</f>
        <v>ft-group-1</v>
      </c>
      <c r="AH26" s="3" t="str">
        <f>IF(JiraDataset[[#This Row],[RowType]]=cfg_type_skip,"",IFERROR(VLOOKUP(JiraDataset[[#This Row],[Assignee.Name]], Config!$A$4:$B$24, 2, FALSE), ""))</f>
        <v>someID</v>
      </c>
      <c r="AI26" s="3" t="str">
        <f>IF(JiraDataset[[#This Row],[RowType]]=cfg_type_skip,"",_xlfn.XLOOKUP("jira.project.key", CfgAutofieldValues[Name], CfgAutofieldValues[Value]))</f>
        <v>PRJ_KEY</v>
      </c>
      <c r="AJ26" s="3" cm="1">
        <f t="array" ref="AJ2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K26" s="3" t="str" cm="1">
        <f t="array" ref="AK2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6" s="3"/>
    </row>
    <row r="27" spans="1:38" x14ac:dyDescent="0.25">
      <c r="A27" s="3" t="s">
        <v>38</v>
      </c>
      <c r="B27" s="3" t="s">
        <v>113</v>
      </c>
      <c r="C27" s="3" t="s">
        <v>139</v>
      </c>
      <c r="D27" s="3"/>
      <c r="E27" s="3" t="s">
        <v>183</v>
      </c>
      <c r="F27" s="3" t="str">
        <f>Config!$G$4</f>
        <v>JITTP Version 1</v>
      </c>
      <c r="G27" s="3" t="s">
        <v>108</v>
      </c>
      <c r="H27" s="3" t="s">
        <v>93</v>
      </c>
      <c r="I27" s="3"/>
      <c r="J27" s="3">
        <v>1</v>
      </c>
      <c r="K27" s="3" t="s">
        <v>224</v>
      </c>
      <c r="L27" s="3" t="s">
        <v>98</v>
      </c>
      <c r="M27" s="3">
        <v>25</v>
      </c>
      <c r="N27" s="3">
        <v>23</v>
      </c>
      <c r="O27" s="3"/>
      <c r="P27" s="3" t="str">
        <f>IF(JiraDataset[[#This Row],[IssueType]]="Epic",JiraDataset[[#This Row],[Summary]],"")</f>
        <v/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 t="str">
        <f>IF(JiraDataset[[#This Row],[RowType]]=cfg_type_skip,"",IFERROR(VLOOKUP(JiraDataset[[#This Row],[Sprint Name]], Config!$D$4:$E$9, 2, FALSE), ""))</f>
        <v/>
      </c>
      <c r="AF27" s="3" t="str">
        <f>IF(JiraDataset[[#This Row],[RowType]]=cfg_type_skip,"",_xlfn.XLOOKUP("Creation Marker", CfgAutofieldValues[Name], CfgAutofieldValues[Value]))</f>
        <v>jt-imported</v>
      </c>
      <c r="AG27" s="8" t="str">
        <f>IF(JiraDataset[[#This Row],[RowType]]=cfg_type_skip,"",_xlfn.XLOOKUP("Feature Pod Label", CfgAutofieldValues[Name], CfgAutofieldValues[Value]))</f>
        <v>ft-group-1</v>
      </c>
      <c r="AH27" s="3" t="str">
        <f>IF(JiraDataset[[#This Row],[RowType]]=cfg_type_skip,"",IFERROR(VLOOKUP(JiraDataset[[#This Row],[Assignee.Name]], Config!$A$4:$B$24, 2, FALSE), ""))</f>
        <v>someID</v>
      </c>
      <c r="AI27" s="3" t="str">
        <f>IF(JiraDataset[[#This Row],[RowType]]=cfg_type_skip,"",_xlfn.XLOOKUP("jira.project.key", CfgAutofieldValues[Name], CfgAutofieldValues[Value]))</f>
        <v>PRJ_KEY</v>
      </c>
      <c r="AJ27" s="3" cm="1">
        <f t="array" ref="AJ2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27" s="3" t="str" cm="1">
        <f t="array" ref="AK2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7" s="3"/>
    </row>
    <row r="28" spans="1:38" x14ac:dyDescent="0.25">
      <c r="A28" s="3" t="s">
        <v>47</v>
      </c>
      <c r="B28" s="3" t="s">
        <v>114</v>
      </c>
      <c r="C28" s="3" t="s">
        <v>91</v>
      </c>
      <c r="D28" s="3"/>
      <c r="E28" s="3" t="s">
        <v>184</v>
      </c>
      <c r="F28" s="3" t="str">
        <f>Config!$G$4</f>
        <v>JITTP Version 1</v>
      </c>
      <c r="G28" s="3" t="s">
        <v>106</v>
      </c>
      <c r="H28" s="3" t="s">
        <v>94</v>
      </c>
      <c r="I28" s="3"/>
      <c r="J28" s="3">
        <v>1</v>
      </c>
      <c r="K28" s="3" t="s">
        <v>224</v>
      </c>
      <c r="L28" s="3" t="s">
        <v>101</v>
      </c>
      <c r="M28" s="3">
        <v>26</v>
      </c>
      <c r="N28" s="3">
        <v>23</v>
      </c>
      <c r="O28" s="3"/>
      <c r="P28" s="3" t="str">
        <f>IF(JiraDataset[[#This Row],[IssueType]]="Epic",JiraDataset[[#This Row],[Summary]],"")</f>
        <v/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 t="str">
        <f>IF(JiraDataset[[#This Row],[RowType]]=cfg_type_skip,"",IFERROR(VLOOKUP(JiraDataset[[#This Row],[Sprint Name]], Config!$D$4:$E$9, 2, FALSE), ""))</f>
        <v/>
      </c>
      <c r="AF28" s="3" t="str">
        <f>IF(JiraDataset[[#This Row],[RowType]]=cfg_type_skip,"",_xlfn.XLOOKUP("Creation Marker", CfgAutofieldValues[Name], CfgAutofieldValues[Value]))</f>
        <v>jt-imported</v>
      </c>
      <c r="AG28" s="8" t="str">
        <f>IF(JiraDataset[[#This Row],[RowType]]=cfg_type_skip,"",_xlfn.XLOOKUP("Feature Pod Label", CfgAutofieldValues[Name], CfgAutofieldValues[Value]))</f>
        <v>ft-group-1</v>
      </c>
      <c r="AH28" s="3" t="str">
        <f>IF(JiraDataset[[#This Row],[RowType]]=cfg_type_skip,"",IFERROR(VLOOKUP(JiraDataset[[#This Row],[Assignee.Name]], Config!$A$4:$B$24, 2, FALSE), ""))</f>
        <v>someID</v>
      </c>
      <c r="AI28" s="3" t="str">
        <f>IF(JiraDataset[[#This Row],[RowType]]=cfg_type_skip,"",_xlfn.XLOOKUP("jira.project.key", CfgAutofieldValues[Name], CfgAutofieldValues[Value]))</f>
        <v>PRJ_KEY</v>
      </c>
      <c r="AJ28" s="3" cm="1">
        <f t="array" ref="AJ2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28" s="3" t="str" cm="1">
        <f t="array" ref="AK2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8" s="3"/>
    </row>
    <row r="29" spans="1:38" x14ac:dyDescent="0.25">
      <c r="A29" s="3" t="s">
        <v>42</v>
      </c>
      <c r="B29" s="3" t="s">
        <v>115</v>
      </c>
      <c r="C29" s="3" t="s">
        <v>140</v>
      </c>
      <c r="D29" s="3"/>
      <c r="E29" s="3" t="s">
        <v>185</v>
      </c>
      <c r="F29" s="3" t="str">
        <f>Config!$G$4</f>
        <v>JITTP Version 1</v>
      </c>
      <c r="G29" s="3" t="s">
        <v>104</v>
      </c>
      <c r="H29" s="3" t="s">
        <v>95</v>
      </c>
      <c r="I29" s="3"/>
      <c r="J29" s="3">
        <v>1</v>
      </c>
      <c r="K29" s="3" t="s">
        <v>224</v>
      </c>
      <c r="L29" s="3" t="s">
        <v>116</v>
      </c>
      <c r="M29" s="3">
        <v>27</v>
      </c>
      <c r="N29" s="3">
        <v>24</v>
      </c>
      <c r="O29" s="3"/>
      <c r="P29" s="3" t="str">
        <f>IF(JiraDataset[[#This Row],[IssueType]]="Epic",JiraDataset[[#This Row],[Summary]],"")</f>
        <v/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 t="str">
        <f>IF(JiraDataset[[#This Row],[RowType]]=cfg_type_skip,"",IFERROR(VLOOKUP(JiraDataset[[#This Row],[Sprint Name]], Config!$D$4:$E$9, 2, FALSE), ""))</f>
        <v/>
      </c>
      <c r="AF29" s="3" t="str">
        <f>IF(JiraDataset[[#This Row],[RowType]]=cfg_type_skip,"",_xlfn.XLOOKUP("Creation Marker", CfgAutofieldValues[Name], CfgAutofieldValues[Value]))</f>
        <v>jt-imported</v>
      </c>
      <c r="AG29" s="8" t="str">
        <f>IF(JiraDataset[[#This Row],[RowType]]=cfg_type_skip,"",_xlfn.XLOOKUP("Feature Pod Label", CfgAutofieldValues[Name], CfgAutofieldValues[Value]))</f>
        <v>ft-group-1</v>
      </c>
      <c r="AH29" s="3" t="str">
        <f>IF(JiraDataset[[#This Row],[RowType]]=cfg_type_skip,"",IFERROR(VLOOKUP(JiraDataset[[#This Row],[Assignee.Name]], Config!$A$4:$B$24, 2, FALSE), ""))</f>
        <v>someID</v>
      </c>
      <c r="AI29" s="3" t="str">
        <f>IF(JiraDataset[[#This Row],[RowType]]=cfg_type_skip,"",_xlfn.XLOOKUP("jira.project.key", CfgAutofieldValues[Name], CfgAutofieldValues[Value]))</f>
        <v>PRJ_KEY</v>
      </c>
      <c r="AJ29" s="3" cm="1">
        <f t="array" ref="AJ2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1296000</v>
      </c>
      <c r="AK29" s="3" t="str" cm="1">
        <f t="array" ref="AK2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29" s="3"/>
    </row>
    <row r="30" spans="1:38" x14ac:dyDescent="0.25">
      <c r="A30" s="3" t="s">
        <v>88</v>
      </c>
      <c r="B30" s="3" t="s">
        <v>111</v>
      </c>
      <c r="C30" s="3" t="s">
        <v>141</v>
      </c>
      <c r="D30" s="3"/>
      <c r="E30" s="3" t="s">
        <v>186</v>
      </c>
      <c r="F30" s="3" t="str">
        <f>Config!$G$4</f>
        <v>JITTP Version 1</v>
      </c>
      <c r="G30" s="3" t="s">
        <v>105</v>
      </c>
      <c r="H30" s="3" t="s">
        <v>157</v>
      </c>
      <c r="I30" s="3"/>
      <c r="J30" s="3">
        <v>1</v>
      </c>
      <c r="K30" s="3" t="s">
        <v>224</v>
      </c>
      <c r="L30" s="3" t="s">
        <v>84</v>
      </c>
      <c r="M30" s="3">
        <v>28</v>
      </c>
      <c r="N30" s="3">
        <v>17</v>
      </c>
      <c r="O30" s="3"/>
      <c r="P30" s="3" t="str">
        <f>IF(JiraDataset[[#This Row],[IssueType]]="Epic",JiraDataset[[#This Row],[Summary]],"")</f>
        <v>Localization &amp; Accessibility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 t="str">
        <f>IF(JiraDataset[[#This Row],[RowType]]=cfg_type_skip,"",IFERROR(VLOOKUP(JiraDataset[[#This Row],[Sprint Name]], Config!$D$4:$E$9, 2, FALSE), ""))</f>
        <v/>
      </c>
      <c r="AF30" s="3" t="str">
        <f>IF(JiraDataset[[#This Row],[RowType]]=cfg_type_skip,"",_xlfn.XLOOKUP("Creation Marker", CfgAutofieldValues[Name], CfgAutofieldValues[Value]))</f>
        <v>jt-imported</v>
      </c>
      <c r="AG30" s="8" t="str">
        <f>IF(JiraDataset[[#This Row],[RowType]]=cfg_type_skip,"",_xlfn.XLOOKUP("Feature Pod Label", CfgAutofieldValues[Name], CfgAutofieldValues[Value]))</f>
        <v>ft-group-1</v>
      </c>
      <c r="AH30" s="3" t="str">
        <f>IF(JiraDataset[[#This Row],[RowType]]=cfg_type_skip,"",IFERROR(VLOOKUP(JiraDataset[[#This Row],[Assignee.Name]], Config!$A$4:$B$24, 2, FALSE), ""))</f>
        <v>someID</v>
      </c>
      <c r="AI30" s="3" t="str">
        <f>IF(JiraDataset[[#This Row],[RowType]]=cfg_type_skip,"",_xlfn.XLOOKUP("jira.project.key", CfgAutofieldValues[Name], CfgAutofieldValues[Value]))</f>
        <v>PRJ_KEY</v>
      </c>
      <c r="AJ30" s="3" cm="1">
        <f t="array" ref="AJ3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K30" s="3" t="str" cm="1">
        <f t="array" ref="AK3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0" s="3"/>
    </row>
    <row r="31" spans="1:38" x14ac:dyDescent="0.25">
      <c r="A31" s="3" t="s">
        <v>38</v>
      </c>
      <c r="B31" s="3" t="s">
        <v>112</v>
      </c>
      <c r="C31" s="3" t="s">
        <v>142</v>
      </c>
      <c r="D31" s="3"/>
      <c r="E31" s="3" t="s">
        <v>187</v>
      </c>
      <c r="F31" s="3" t="str">
        <f>Config!$G$4</f>
        <v>JITTP Version 1</v>
      </c>
      <c r="G31" s="3" t="s">
        <v>107</v>
      </c>
      <c r="H31" s="3" t="s">
        <v>157</v>
      </c>
      <c r="I31" s="3"/>
      <c r="J31" s="3">
        <v>1</v>
      </c>
      <c r="K31" s="3" t="s">
        <v>224</v>
      </c>
      <c r="L31" s="3" t="s">
        <v>98</v>
      </c>
      <c r="M31" s="3">
        <v>29</v>
      </c>
      <c r="N31" s="3">
        <v>28</v>
      </c>
      <c r="O31" s="3"/>
      <c r="P31" s="3" t="str">
        <f>IF(JiraDataset[[#This Row],[IssueType]]="Epic",JiraDataset[[#This Row],[Summary]],"")</f>
        <v/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 t="str">
        <f>IF(JiraDataset[[#This Row],[RowType]]=cfg_type_skip,"",IFERROR(VLOOKUP(JiraDataset[[#This Row],[Sprint Name]], Config!$D$4:$E$9, 2, FALSE), ""))</f>
        <v/>
      </c>
      <c r="AF31" s="3" t="str">
        <f>IF(JiraDataset[[#This Row],[RowType]]=cfg_type_skip,"",_xlfn.XLOOKUP("Creation Marker", CfgAutofieldValues[Name], CfgAutofieldValues[Value]))</f>
        <v>jt-imported</v>
      </c>
      <c r="AG31" s="8" t="str">
        <f>IF(JiraDataset[[#This Row],[RowType]]=cfg_type_skip,"",_xlfn.XLOOKUP("Feature Pod Label", CfgAutofieldValues[Name], CfgAutofieldValues[Value]))</f>
        <v>ft-group-1</v>
      </c>
      <c r="AH31" s="3" t="str">
        <f>IF(JiraDataset[[#This Row],[RowType]]=cfg_type_skip,"",IFERROR(VLOOKUP(JiraDataset[[#This Row],[Assignee.Name]], Config!$A$4:$B$24, 2, FALSE), ""))</f>
        <v>someID</v>
      </c>
      <c r="AI31" s="3" t="str">
        <f>IF(JiraDataset[[#This Row],[RowType]]=cfg_type_skip,"",_xlfn.XLOOKUP("jira.project.key", CfgAutofieldValues[Name], CfgAutofieldValues[Value]))</f>
        <v>PRJ_KEY</v>
      </c>
      <c r="AJ31" s="3" cm="1">
        <f t="array" ref="AJ3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31" s="3" t="str" cm="1">
        <f t="array" ref="AK3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1" s="3"/>
    </row>
    <row r="32" spans="1:38" x14ac:dyDescent="0.25">
      <c r="A32" s="3" t="s">
        <v>48</v>
      </c>
      <c r="B32" s="3" t="s">
        <v>113</v>
      </c>
      <c r="C32" s="3" t="s">
        <v>143</v>
      </c>
      <c r="D32" s="3"/>
      <c r="E32" s="3" t="s">
        <v>188</v>
      </c>
      <c r="F32" s="3" t="str">
        <f>Config!$G$4</f>
        <v>JITTP Version 1</v>
      </c>
      <c r="G32" s="3" t="s">
        <v>108</v>
      </c>
      <c r="H32" s="3" t="s">
        <v>93</v>
      </c>
      <c r="I32" s="3"/>
      <c r="J32" s="3">
        <v>1</v>
      </c>
      <c r="K32" s="3" t="s">
        <v>224</v>
      </c>
      <c r="L32" s="3" t="s">
        <v>99</v>
      </c>
      <c r="M32" s="3">
        <v>30</v>
      </c>
      <c r="N32" s="3">
        <v>28</v>
      </c>
      <c r="O32" s="3"/>
      <c r="P32" s="3" t="str">
        <f>IF(JiraDataset[[#This Row],[IssueType]]="Epic",JiraDataset[[#This Row],[Summary]],"")</f>
        <v/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tr">
        <f>IF(JiraDataset[[#This Row],[RowType]]=cfg_type_skip,"",IFERROR(VLOOKUP(JiraDataset[[#This Row],[Sprint Name]], Config!$D$4:$E$9, 2, FALSE), ""))</f>
        <v/>
      </c>
      <c r="AF32" s="3" t="str">
        <f>IF(JiraDataset[[#This Row],[RowType]]=cfg_type_skip,"",_xlfn.XLOOKUP("Creation Marker", CfgAutofieldValues[Name], CfgAutofieldValues[Value]))</f>
        <v>jt-imported</v>
      </c>
      <c r="AG32" s="8" t="str">
        <f>IF(JiraDataset[[#This Row],[RowType]]=cfg_type_skip,"",_xlfn.XLOOKUP("Feature Pod Label", CfgAutofieldValues[Name], CfgAutofieldValues[Value]))</f>
        <v>ft-group-1</v>
      </c>
      <c r="AH32" s="3" t="str">
        <f>IF(JiraDataset[[#This Row],[RowType]]=cfg_type_skip,"",IFERROR(VLOOKUP(JiraDataset[[#This Row],[Assignee.Name]], Config!$A$4:$B$24, 2, FALSE), ""))</f>
        <v>someID</v>
      </c>
      <c r="AI32" s="3" t="str">
        <f>IF(JiraDataset[[#This Row],[RowType]]=cfg_type_skip,"",_xlfn.XLOOKUP("jira.project.key", CfgAutofieldValues[Name], CfgAutofieldValues[Value]))</f>
        <v>PRJ_KEY</v>
      </c>
      <c r="AJ32" s="3" cm="1">
        <f t="array" ref="AJ3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K32" s="3" t="str" cm="1">
        <f t="array" ref="AK3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2" s="3"/>
    </row>
    <row r="33" spans="1:38" x14ac:dyDescent="0.25">
      <c r="A33" s="3" t="s">
        <v>49</v>
      </c>
      <c r="B33" s="3" t="s">
        <v>114</v>
      </c>
      <c r="C33" s="3" t="s">
        <v>144</v>
      </c>
      <c r="D33" s="3"/>
      <c r="E33" s="3" t="s">
        <v>189</v>
      </c>
      <c r="F33" s="3" t="str">
        <f>Config!$G$4</f>
        <v>JITTP Version 1</v>
      </c>
      <c r="G33" s="3" t="s">
        <v>106</v>
      </c>
      <c r="H33" s="3" t="s">
        <v>93</v>
      </c>
      <c r="I33" s="3"/>
      <c r="J33" s="3">
        <v>1</v>
      </c>
      <c r="K33" s="3" t="s">
        <v>224</v>
      </c>
      <c r="L33" s="3" t="s">
        <v>101</v>
      </c>
      <c r="M33" s="3">
        <v>31</v>
      </c>
      <c r="N33" s="3">
        <v>28</v>
      </c>
      <c r="O33" s="3"/>
      <c r="P33" s="3" t="str">
        <f>IF(JiraDataset[[#This Row],[IssueType]]="Epic",JiraDataset[[#This Row],[Summary]],"")</f>
        <v/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>IF(JiraDataset[[#This Row],[RowType]]=cfg_type_skip,"",IFERROR(VLOOKUP(JiraDataset[[#This Row],[Sprint Name]], Config!$D$4:$E$9, 2, FALSE), ""))</f>
        <v/>
      </c>
      <c r="AF33" s="3" t="str">
        <f>IF(JiraDataset[[#This Row],[RowType]]=cfg_type_skip,"",_xlfn.XLOOKUP("Creation Marker", CfgAutofieldValues[Name], CfgAutofieldValues[Value]))</f>
        <v>jt-imported</v>
      </c>
      <c r="AG33" s="8" t="str">
        <f>IF(JiraDataset[[#This Row],[RowType]]=cfg_type_skip,"",_xlfn.XLOOKUP("Feature Pod Label", CfgAutofieldValues[Name], CfgAutofieldValues[Value]))</f>
        <v>ft-group-1</v>
      </c>
      <c r="AH33" s="3" t="str">
        <f>IF(JiraDataset[[#This Row],[RowType]]=cfg_type_skip,"",IFERROR(VLOOKUP(JiraDataset[[#This Row],[Assignee.Name]], Config!$A$4:$B$24, 2, FALSE), ""))</f>
        <v>someID</v>
      </c>
      <c r="AI33" s="3" t="str">
        <f>IF(JiraDataset[[#This Row],[RowType]]=cfg_type_skip,"",_xlfn.XLOOKUP("jira.project.key", CfgAutofieldValues[Name], CfgAutofieldValues[Value]))</f>
        <v>PRJ_KEY</v>
      </c>
      <c r="AJ33" s="3" cm="1">
        <f t="array" ref="AJ3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33" s="3" t="str" cm="1">
        <f t="array" ref="AK3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3" s="3"/>
    </row>
    <row r="34" spans="1:38" x14ac:dyDescent="0.25">
      <c r="A34" s="3" t="s">
        <v>38</v>
      </c>
      <c r="B34" s="3" t="s">
        <v>115</v>
      </c>
      <c r="C34" s="3" t="s">
        <v>145</v>
      </c>
      <c r="D34" s="3"/>
      <c r="E34" s="3" t="s">
        <v>190</v>
      </c>
      <c r="F34" s="3" t="str">
        <f>Config!$G$4</f>
        <v>JITTP Version 1</v>
      </c>
      <c r="G34" s="3" t="s">
        <v>104</v>
      </c>
      <c r="H34" s="3" t="s">
        <v>95</v>
      </c>
      <c r="I34" s="3"/>
      <c r="J34" s="3">
        <v>1</v>
      </c>
      <c r="K34" s="3" t="s">
        <v>224</v>
      </c>
      <c r="L34" s="3" t="s">
        <v>101</v>
      </c>
      <c r="M34" s="3">
        <v>32</v>
      </c>
      <c r="N34" s="3">
        <v>31</v>
      </c>
      <c r="O34" s="3"/>
      <c r="P34" s="3" t="str">
        <f>IF(JiraDataset[[#This Row],[IssueType]]="Epic",JiraDataset[[#This Row],[Summary]],"")</f>
        <v/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>IF(JiraDataset[[#This Row],[RowType]]=cfg_type_skip,"",IFERROR(VLOOKUP(JiraDataset[[#This Row],[Sprint Name]], Config!$D$4:$E$9, 2, FALSE), ""))</f>
        <v/>
      </c>
      <c r="AF34" s="3" t="str">
        <f>IF(JiraDataset[[#This Row],[RowType]]=cfg_type_skip,"",_xlfn.XLOOKUP("Creation Marker", CfgAutofieldValues[Name], CfgAutofieldValues[Value]))</f>
        <v>jt-imported</v>
      </c>
      <c r="AG34" s="8" t="str">
        <f>IF(JiraDataset[[#This Row],[RowType]]=cfg_type_skip,"",_xlfn.XLOOKUP("Feature Pod Label", CfgAutofieldValues[Name], CfgAutofieldValues[Value]))</f>
        <v>ft-group-1</v>
      </c>
      <c r="AH34" s="3" t="str">
        <f>IF(JiraDataset[[#This Row],[RowType]]=cfg_type_skip,"",IFERROR(VLOOKUP(JiraDataset[[#This Row],[Assignee.Name]], Config!$A$4:$B$24, 2, FALSE), ""))</f>
        <v>someID</v>
      </c>
      <c r="AI34" s="3" t="str">
        <f>IF(JiraDataset[[#This Row],[RowType]]=cfg_type_skip,"",_xlfn.XLOOKUP("jira.project.key", CfgAutofieldValues[Name], CfgAutofieldValues[Value]))</f>
        <v>PRJ_KEY</v>
      </c>
      <c r="AJ34" s="3" cm="1">
        <f t="array" ref="AJ34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34" s="3" t="str" cm="1">
        <f t="array" ref="AK34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4" s="3"/>
    </row>
    <row r="35" spans="1:38" x14ac:dyDescent="0.25">
      <c r="A35" s="3" t="s">
        <v>88</v>
      </c>
      <c r="B35" s="3" t="s">
        <v>111</v>
      </c>
      <c r="C35" s="3" t="s">
        <v>90</v>
      </c>
      <c r="D35" s="3"/>
      <c r="E35" s="3" t="s">
        <v>191</v>
      </c>
      <c r="F35" s="3" t="str">
        <f>Config!$G$4</f>
        <v>JITTP Version 1</v>
      </c>
      <c r="G35" s="3" t="s">
        <v>105</v>
      </c>
      <c r="H35" s="3" t="s">
        <v>97</v>
      </c>
      <c r="I35" s="3"/>
      <c r="J35" s="3">
        <v>1</v>
      </c>
      <c r="K35" s="3" t="s">
        <v>224</v>
      </c>
      <c r="L35" s="3" t="s">
        <v>84</v>
      </c>
      <c r="M35" s="3">
        <v>33</v>
      </c>
      <c r="N35" s="3">
        <v>17</v>
      </c>
      <c r="O35" s="3"/>
      <c r="P35" s="3" t="str">
        <f>IF(JiraDataset[[#This Row],[IssueType]]="Epic",JiraDataset[[#This Row],[Summary]],"")</f>
        <v>Security Hardening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>IF(JiraDataset[[#This Row],[RowType]]=cfg_type_skip,"",IFERROR(VLOOKUP(JiraDataset[[#This Row],[Sprint Name]], Config!$D$4:$E$9, 2, FALSE), ""))</f>
        <v/>
      </c>
      <c r="AF35" s="3" t="str">
        <f>IF(JiraDataset[[#This Row],[RowType]]=cfg_type_skip,"",_xlfn.XLOOKUP("Creation Marker", CfgAutofieldValues[Name], CfgAutofieldValues[Value]))</f>
        <v>jt-imported</v>
      </c>
      <c r="AG35" s="8" t="str">
        <f>IF(JiraDataset[[#This Row],[RowType]]=cfg_type_skip,"",_xlfn.XLOOKUP("Feature Pod Label", CfgAutofieldValues[Name], CfgAutofieldValues[Value]))</f>
        <v>ft-group-1</v>
      </c>
      <c r="AH35" s="3" t="str">
        <f>IF(JiraDataset[[#This Row],[RowType]]=cfg_type_skip,"",IFERROR(VLOOKUP(JiraDataset[[#This Row],[Assignee.Name]], Config!$A$4:$B$24, 2, FALSE), ""))</f>
        <v>someID</v>
      </c>
      <c r="AI35" s="3" t="str">
        <f>IF(JiraDataset[[#This Row],[RowType]]=cfg_type_skip,"",_xlfn.XLOOKUP("jira.project.key", CfgAutofieldValues[Name], CfgAutofieldValues[Value]))</f>
        <v>PRJ_KEY</v>
      </c>
      <c r="AJ35" s="3" cm="1">
        <f t="array" ref="AJ35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K35" s="3" t="str" cm="1">
        <f t="array" ref="AK35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5" s="3"/>
    </row>
    <row r="36" spans="1:38" x14ac:dyDescent="0.25">
      <c r="A36" s="3" t="s">
        <v>38</v>
      </c>
      <c r="B36" s="3" t="s">
        <v>112</v>
      </c>
      <c r="C36" s="3" t="s">
        <v>146</v>
      </c>
      <c r="D36" s="3"/>
      <c r="E36" s="3" t="s">
        <v>192</v>
      </c>
      <c r="F36" s="3" t="str">
        <f>Config!$G$4</f>
        <v>JITTP Version 1</v>
      </c>
      <c r="G36" s="3" t="s">
        <v>107</v>
      </c>
      <c r="H36" s="3" t="s">
        <v>94</v>
      </c>
      <c r="I36" s="3"/>
      <c r="J36" s="3">
        <v>1</v>
      </c>
      <c r="K36" s="3" t="s">
        <v>224</v>
      </c>
      <c r="L36" s="3" t="s">
        <v>98</v>
      </c>
      <c r="M36" s="3">
        <v>34</v>
      </c>
      <c r="N36" s="3">
        <v>33</v>
      </c>
      <c r="O36" s="3"/>
      <c r="P36" s="3" t="str">
        <f>IF(JiraDataset[[#This Row],[IssueType]]="Epic",JiraDataset[[#This Row],[Summary]],"")</f>
        <v/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>IF(JiraDataset[[#This Row],[RowType]]=cfg_type_skip,"",IFERROR(VLOOKUP(JiraDataset[[#This Row],[Sprint Name]], Config!$D$4:$E$9, 2, FALSE), ""))</f>
        <v/>
      </c>
      <c r="AF36" s="3" t="str">
        <f>IF(JiraDataset[[#This Row],[RowType]]=cfg_type_skip,"",_xlfn.XLOOKUP("Creation Marker", CfgAutofieldValues[Name], CfgAutofieldValues[Value]))</f>
        <v>jt-imported</v>
      </c>
      <c r="AG36" s="8" t="str">
        <f>IF(JiraDataset[[#This Row],[RowType]]=cfg_type_skip,"",_xlfn.XLOOKUP("Feature Pod Label", CfgAutofieldValues[Name], CfgAutofieldValues[Value]))</f>
        <v>ft-group-1</v>
      </c>
      <c r="AH36" s="3" t="str">
        <f>IF(JiraDataset[[#This Row],[RowType]]=cfg_type_skip,"",IFERROR(VLOOKUP(JiraDataset[[#This Row],[Assignee.Name]], Config!$A$4:$B$24, 2, FALSE), ""))</f>
        <v>someID</v>
      </c>
      <c r="AI36" s="3" t="str">
        <f>IF(JiraDataset[[#This Row],[RowType]]=cfg_type_skip,"",_xlfn.XLOOKUP("jira.project.key", CfgAutofieldValues[Name], CfgAutofieldValues[Value]))</f>
        <v>PRJ_KEY</v>
      </c>
      <c r="AJ36" s="3" cm="1">
        <f t="array" ref="AJ36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36" s="3" t="str" cm="1">
        <f t="array" ref="AK36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6" s="3"/>
    </row>
    <row r="37" spans="1:38" x14ac:dyDescent="0.25">
      <c r="A37" s="3" t="s">
        <v>47</v>
      </c>
      <c r="B37" s="3" t="s">
        <v>113</v>
      </c>
      <c r="C37" s="3" t="s">
        <v>147</v>
      </c>
      <c r="D37" s="3"/>
      <c r="E37" s="3" t="s">
        <v>193</v>
      </c>
      <c r="F37" s="3" t="str">
        <f>Config!$G$4</f>
        <v>JITTP Version 1</v>
      </c>
      <c r="G37" s="3" t="s">
        <v>108</v>
      </c>
      <c r="H37" s="3" t="s">
        <v>94</v>
      </c>
      <c r="I37" s="3"/>
      <c r="J37" s="3">
        <v>1</v>
      </c>
      <c r="K37" s="3" t="s">
        <v>224</v>
      </c>
      <c r="L37" s="3" t="s">
        <v>99</v>
      </c>
      <c r="M37" s="3">
        <v>35</v>
      </c>
      <c r="N37" s="3">
        <v>33</v>
      </c>
      <c r="O37" s="3"/>
      <c r="P37" s="3" t="str">
        <f>IF(JiraDataset[[#This Row],[IssueType]]="Epic",JiraDataset[[#This Row],[Summary]],"")</f>
        <v/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>IF(JiraDataset[[#This Row],[RowType]]=cfg_type_skip,"",IFERROR(VLOOKUP(JiraDataset[[#This Row],[Sprint Name]], Config!$D$4:$E$9, 2, FALSE), ""))</f>
        <v/>
      </c>
      <c r="AF37" s="3" t="str">
        <f>IF(JiraDataset[[#This Row],[RowType]]=cfg_type_skip,"",_xlfn.XLOOKUP("Creation Marker", CfgAutofieldValues[Name], CfgAutofieldValues[Value]))</f>
        <v>jt-imported</v>
      </c>
      <c r="AG37" s="8" t="str">
        <f>IF(JiraDataset[[#This Row],[RowType]]=cfg_type_skip,"",_xlfn.XLOOKUP("Feature Pod Label", CfgAutofieldValues[Name], CfgAutofieldValues[Value]))</f>
        <v>ft-group-1</v>
      </c>
      <c r="AH37" s="3" t="str">
        <f>IF(JiraDataset[[#This Row],[RowType]]=cfg_type_skip,"",IFERROR(VLOOKUP(JiraDataset[[#This Row],[Assignee.Name]], Config!$A$4:$B$24, 2, FALSE), ""))</f>
        <v>someID</v>
      </c>
      <c r="AI37" s="3" t="str">
        <f>IF(JiraDataset[[#This Row],[RowType]]=cfg_type_skip,"",_xlfn.XLOOKUP("jira.project.key", CfgAutofieldValues[Name], CfgAutofieldValues[Value]))</f>
        <v>PRJ_KEY</v>
      </c>
      <c r="AJ37" s="3" cm="1">
        <f t="array" ref="AJ37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</v>
      </c>
      <c r="AK37" s="3" t="str" cm="1">
        <f t="array" ref="AK37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7" s="3"/>
    </row>
    <row r="38" spans="1:38" x14ac:dyDescent="0.25">
      <c r="A38" s="3" t="s">
        <v>42</v>
      </c>
      <c r="B38" s="3" t="s">
        <v>114</v>
      </c>
      <c r="C38" s="3" t="s">
        <v>148</v>
      </c>
      <c r="D38" s="3"/>
      <c r="E38" s="3" t="s">
        <v>194</v>
      </c>
      <c r="F38" s="3" t="str">
        <f>Config!$G$4</f>
        <v>JITTP Version 1</v>
      </c>
      <c r="G38" s="3" t="s">
        <v>106</v>
      </c>
      <c r="H38" s="3" t="s">
        <v>97</v>
      </c>
      <c r="I38" s="3"/>
      <c r="J38" s="3">
        <v>1</v>
      </c>
      <c r="K38" s="3" t="s">
        <v>224</v>
      </c>
      <c r="L38" s="3" t="s">
        <v>101</v>
      </c>
      <c r="M38" s="3">
        <v>36</v>
      </c>
      <c r="N38" s="3">
        <v>33</v>
      </c>
      <c r="O38" s="3"/>
      <c r="P38" s="3" t="str">
        <f>IF(JiraDataset[[#This Row],[IssueType]]="Epic",JiraDataset[[#This Row],[Summary]],"")</f>
        <v/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>IF(JiraDataset[[#This Row],[RowType]]=cfg_type_skip,"",IFERROR(VLOOKUP(JiraDataset[[#This Row],[Sprint Name]], Config!$D$4:$E$9, 2, FALSE), ""))</f>
        <v/>
      </c>
      <c r="AF38" s="3" t="str">
        <f>IF(JiraDataset[[#This Row],[RowType]]=cfg_type_skip,"",_xlfn.XLOOKUP("Creation Marker", CfgAutofieldValues[Name], CfgAutofieldValues[Value]))</f>
        <v>jt-imported</v>
      </c>
      <c r="AG38" s="8" t="str">
        <f>IF(JiraDataset[[#This Row],[RowType]]=cfg_type_skip,"",_xlfn.XLOOKUP("Feature Pod Label", CfgAutofieldValues[Name], CfgAutofieldValues[Value]))</f>
        <v>ft-group-1</v>
      </c>
      <c r="AH38" s="3" t="str">
        <f>IF(JiraDataset[[#This Row],[RowType]]=cfg_type_skip,"",IFERROR(VLOOKUP(JiraDataset[[#This Row],[Assignee.Name]], Config!$A$4:$B$24, 2, FALSE), ""))</f>
        <v>someID</v>
      </c>
      <c r="AI38" s="3" t="str">
        <f>IF(JiraDataset[[#This Row],[RowType]]=cfg_type_skip,"",_xlfn.XLOOKUP("jira.project.key", CfgAutofieldValues[Name], CfgAutofieldValues[Value]))</f>
        <v>PRJ_KEY</v>
      </c>
      <c r="AJ38" s="3" cm="1">
        <f t="array" ref="AJ38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38" s="3" t="str" cm="1">
        <f t="array" ref="AK38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8" s="3"/>
    </row>
    <row r="39" spans="1:38" x14ac:dyDescent="0.25">
      <c r="A39" s="3" t="s">
        <v>48</v>
      </c>
      <c r="B39" s="3" t="s">
        <v>115</v>
      </c>
      <c r="C39" s="3" t="s">
        <v>149</v>
      </c>
      <c r="D39" s="3"/>
      <c r="E39" s="3" t="s">
        <v>195</v>
      </c>
      <c r="F39" s="3" t="str">
        <f>Config!$G$4</f>
        <v>JITTP Version 1</v>
      </c>
      <c r="G39" s="3" t="s">
        <v>104</v>
      </c>
      <c r="H39" s="3" t="s">
        <v>95</v>
      </c>
      <c r="I39" s="3"/>
      <c r="J39" s="3">
        <v>1</v>
      </c>
      <c r="K39" s="3" t="s">
        <v>224</v>
      </c>
      <c r="L39" s="3" t="s">
        <v>101</v>
      </c>
      <c r="M39" s="3">
        <v>37</v>
      </c>
      <c r="N39" s="3">
        <v>36</v>
      </c>
      <c r="O39" s="3"/>
      <c r="P39" s="3" t="str">
        <f>IF(JiraDataset[[#This Row],[IssueType]]="Epic",JiraDataset[[#This Row],[Summary]],"")</f>
        <v/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>IF(JiraDataset[[#This Row],[RowType]]=cfg_type_skip,"",IFERROR(VLOOKUP(JiraDataset[[#This Row],[Sprint Name]], Config!$D$4:$E$9, 2, FALSE), ""))</f>
        <v/>
      </c>
      <c r="AF39" s="3" t="str">
        <f>IF(JiraDataset[[#This Row],[RowType]]=cfg_type_skip,"",_xlfn.XLOOKUP("Creation Marker", CfgAutofieldValues[Name], CfgAutofieldValues[Value]))</f>
        <v>jt-imported</v>
      </c>
      <c r="AG39" s="8" t="str">
        <f>IF(JiraDataset[[#This Row],[RowType]]=cfg_type_skip,"",_xlfn.XLOOKUP("Feature Pod Label", CfgAutofieldValues[Name], CfgAutofieldValues[Value]))</f>
        <v>ft-group-1</v>
      </c>
      <c r="AH39" s="3" t="str">
        <f>IF(JiraDataset[[#This Row],[RowType]]=cfg_type_skip,"",IFERROR(VLOOKUP(JiraDataset[[#This Row],[Assignee.Name]], Config!$A$4:$B$24, 2, FALSE), ""))</f>
        <v>someID</v>
      </c>
      <c r="AI39" s="3" t="str">
        <f>IF(JiraDataset[[#This Row],[RowType]]=cfg_type_skip,"",_xlfn.XLOOKUP("jira.project.key", CfgAutofieldValues[Name], CfgAutofieldValues[Value]))</f>
        <v>PRJ_KEY</v>
      </c>
      <c r="AJ39" s="3" cm="1">
        <f t="array" ref="AJ39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39" s="3" t="str" cm="1">
        <f t="array" ref="AK39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39" s="3"/>
    </row>
    <row r="40" spans="1:38" x14ac:dyDescent="0.25">
      <c r="A40" s="3" t="s">
        <v>49</v>
      </c>
      <c r="B40" s="3" t="s">
        <v>111</v>
      </c>
      <c r="C40" s="3" t="s">
        <v>150</v>
      </c>
      <c r="D40" s="3"/>
      <c r="E40" s="3" t="s">
        <v>196</v>
      </c>
      <c r="F40" s="3" t="str">
        <f>Config!$G$4</f>
        <v>JITTP Version 1</v>
      </c>
      <c r="G40" s="3" t="s">
        <v>105</v>
      </c>
      <c r="H40" s="3" t="s">
        <v>96</v>
      </c>
      <c r="I40" s="3"/>
      <c r="J40" s="3">
        <v>1</v>
      </c>
      <c r="K40" s="3" t="s">
        <v>224</v>
      </c>
      <c r="L40" s="3" t="s">
        <v>84</v>
      </c>
      <c r="M40" s="3">
        <v>38</v>
      </c>
      <c r="N40" s="3">
        <v>1</v>
      </c>
      <c r="O40" s="3"/>
      <c r="P40" s="3" t="str">
        <f>IF(JiraDataset[[#This Row],[IssueType]]="Epic",JiraDataset[[#This Row],[Summary]],"")</f>
        <v>Analytics &amp; Reporting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>IF(JiraDataset[[#This Row],[RowType]]=cfg_type_skip,"",IFERROR(VLOOKUP(JiraDataset[[#This Row],[Sprint Name]], Config!$D$4:$E$9, 2, FALSE), ""))</f>
        <v/>
      </c>
      <c r="AF40" s="3" t="str">
        <f>IF(JiraDataset[[#This Row],[RowType]]=cfg_type_skip,"",_xlfn.XLOOKUP("Creation Marker", CfgAutofieldValues[Name], CfgAutofieldValues[Value]))</f>
        <v>jt-imported</v>
      </c>
      <c r="AG40" s="8" t="str">
        <f>IF(JiraDataset[[#This Row],[RowType]]=cfg_type_skip,"",_xlfn.XLOOKUP("Feature Pod Label", CfgAutofieldValues[Name], CfgAutofieldValues[Value]))</f>
        <v>ft-group-1</v>
      </c>
      <c r="AH40" s="3" t="str">
        <f>IF(JiraDataset[[#This Row],[RowType]]=cfg_type_skip,"",IFERROR(VLOOKUP(JiraDataset[[#This Row],[Assignee.Name]], Config!$A$4:$B$24, 2, FALSE), ""))</f>
        <v>someID</v>
      </c>
      <c r="AI40" s="3" t="str">
        <f>IF(JiraDataset[[#This Row],[RowType]]=cfg_type_skip,"",_xlfn.XLOOKUP("jira.project.key", CfgAutofieldValues[Name], CfgAutofieldValues[Value]))</f>
        <v>PRJ_KEY</v>
      </c>
      <c r="AJ40" s="3" cm="1">
        <f t="array" ref="AJ40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K40" s="3" t="str" cm="1">
        <f t="array" ref="AK40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40" s="3"/>
    </row>
    <row r="41" spans="1:38" x14ac:dyDescent="0.25">
      <c r="A41" s="3" t="s">
        <v>88</v>
      </c>
      <c r="B41" s="3" t="s">
        <v>112</v>
      </c>
      <c r="C41" s="3" t="s">
        <v>151</v>
      </c>
      <c r="D41" s="3"/>
      <c r="E41" s="3" t="s">
        <v>197</v>
      </c>
      <c r="F41" s="3" t="str">
        <f>Config!$G$4</f>
        <v>JITTP Version 1</v>
      </c>
      <c r="G41" s="3" t="s">
        <v>107</v>
      </c>
      <c r="H41" s="3" t="s">
        <v>96</v>
      </c>
      <c r="I41" s="3"/>
      <c r="J41" s="3">
        <v>1</v>
      </c>
      <c r="K41" s="3" t="s">
        <v>224</v>
      </c>
      <c r="L41" s="3" t="s">
        <v>98</v>
      </c>
      <c r="M41" s="3">
        <v>39</v>
      </c>
      <c r="N41" s="3">
        <v>38</v>
      </c>
      <c r="O41" s="3"/>
      <c r="P41" s="3" t="str">
        <f>IF(JiraDataset[[#This Row],[IssueType]]="Epic",JiraDataset[[#This Row],[Summary]],"")</f>
        <v/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>IF(JiraDataset[[#This Row],[RowType]]=cfg_type_skip,"",IFERROR(VLOOKUP(JiraDataset[[#This Row],[Sprint Name]], Config!$D$4:$E$9, 2, FALSE), ""))</f>
        <v/>
      </c>
      <c r="AF41" s="3" t="str">
        <f>IF(JiraDataset[[#This Row],[RowType]]=cfg_type_skip,"",_xlfn.XLOOKUP("Creation Marker", CfgAutofieldValues[Name], CfgAutofieldValues[Value]))</f>
        <v>jt-imported</v>
      </c>
      <c r="AG41" s="8" t="str">
        <f>IF(JiraDataset[[#This Row],[RowType]]=cfg_type_skip,"",_xlfn.XLOOKUP("Feature Pod Label", CfgAutofieldValues[Name], CfgAutofieldValues[Value]))</f>
        <v>ft-group-1</v>
      </c>
      <c r="AH41" s="3" t="str">
        <f>IF(JiraDataset[[#This Row],[RowType]]=cfg_type_skip,"",IFERROR(VLOOKUP(JiraDataset[[#This Row],[Assignee.Name]], Config!$A$4:$B$24, 2, FALSE), ""))</f>
        <v>someID</v>
      </c>
      <c r="AI41" s="3" t="str">
        <f>IF(JiraDataset[[#This Row],[RowType]]=cfg_type_skip,"",_xlfn.XLOOKUP("jira.project.key", CfgAutofieldValues[Name], CfgAutofieldValues[Value]))</f>
        <v>PRJ_KEY</v>
      </c>
      <c r="AJ41" s="3" cm="1">
        <f t="array" ref="AJ4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5184000</v>
      </c>
      <c r="AK41" s="3" t="str" cm="1">
        <f t="array" ref="AK41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41" s="3"/>
    </row>
    <row r="42" spans="1:38" x14ac:dyDescent="0.25">
      <c r="A42" s="3" t="s">
        <v>38</v>
      </c>
      <c r="B42" s="3" t="s">
        <v>115</v>
      </c>
      <c r="C42" s="3" t="s">
        <v>152</v>
      </c>
      <c r="D42" s="3"/>
      <c r="E42" s="3" t="s">
        <v>198</v>
      </c>
      <c r="F42" s="3" t="str">
        <f>Config!$G$4</f>
        <v>JITTP Version 1</v>
      </c>
      <c r="G42" s="3" t="s">
        <v>108</v>
      </c>
      <c r="H42" s="3" t="s">
        <v>95</v>
      </c>
      <c r="I42" s="3"/>
      <c r="J42" s="3">
        <v>1</v>
      </c>
      <c r="K42" s="3" t="s">
        <v>224</v>
      </c>
      <c r="L42" s="3" t="s">
        <v>101</v>
      </c>
      <c r="M42" s="3">
        <v>40</v>
      </c>
      <c r="N42" s="3">
        <v>39</v>
      </c>
      <c r="O42" s="3"/>
      <c r="P42" s="3" t="str">
        <f>IF(JiraDataset[[#This Row],[IssueType]]="Epic",JiraDataset[[#This Row],[Summary]],"")</f>
        <v/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>IF(JiraDataset[[#This Row],[RowType]]=cfg_type_skip,"",IFERROR(VLOOKUP(JiraDataset[[#This Row],[Sprint Name]], Config!$D$4:$E$9, 2, FALSE), ""))</f>
        <v/>
      </c>
      <c r="AF42" s="3" t="str">
        <f>IF(JiraDataset[[#This Row],[RowType]]=cfg_type_skip,"",_xlfn.XLOOKUP("Creation Marker", CfgAutofieldValues[Name], CfgAutofieldValues[Value]))</f>
        <v>jt-imported</v>
      </c>
      <c r="AG42" s="8" t="str">
        <f>IF(JiraDataset[[#This Row],[RowType]]=cfg_type_skip,"",_xlfn.XLOOKUP("Feature Pod Label", CfgAutofieldValues[Name], CfgAutofieldValues[Value]))</f>
        <v>ft-group-1</v>
      </c>
      <c r="AH42" s="3" t="str">
        <f>IF(JiraDataset[[#This Row],[RowType]]=cfg_type_skip,"",IFERROR(VLOOKUP(JiraDataset[[#This Row],[Assignee.Name]], Config!$A$4:$B$24, 2, FALSE), ""))</f>
        <v>someID</v>
      </c>
      <c r="AI42" s="3" t="str">
        <f>IF(JiraDataset[[#This Row],[RowType]]=cfg_type_skip,"",_xlfn.XLOOKUP("jira.project.key", CfgAutofieldValues[Name], CfgAutofieldValues[Value]))</f>
        <v>PRJ_KEY</v>
      </c>
      <c r="AJ42" s="3" cm="1">
        <f t="array" ref="AJ4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1728000</v>
      </c>
      <c r="AK42" s="3" t="str" cm="1">
        <f t="array" ref="AK4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L42" s="3"/>
    </row>
  </sheetData>
  <protectedRanges>
    <protectedRange sqref="R4:AF1048576 C1:AD3 A1:A1048576 D4:P1048576" name="User Input"/>
    <protectedRange algorithmName="SHA-512" hashValue="tpheD+JLADkhiyalt6vInlMwkILPZx4PVQN/k2vmwjOBdYUuHaXCrwtObHeFz5dJh9f853O84pZ1Rn9Ujz33+A==" saltValue="9ir5NB4CJc/69S/Eh84/mA==" spinCount="100000" sqref="AE1:AK3 AG4:AM1048576" name="Computed values"/>
  </protectedRanges>
  <phoneticPr fontId="18" type="noConversion"/>
  <conditionalFormatting sqref="A2:A42 C2:C42">
    <cfRule type="containsText" dxfId="15" priority="429" operator="containsText" text="blocker">
      <formula>NOT(ISERROR(SEARCH("blocker",A2)))</formula>
    </cfRule>
    <cfRule type="containsText" dxfId="14" priority="430" operator="containsText" text="critical">
      <formula>NOT(ISERROR(SEARCH("critical",A2)))</formula>
    </cfRule>
    <cfRule type="containsText" dxfId="13" priority="431" operator="containsText" text="High">
      <formula>NOT(ISERROR(SEARCH("High",A2)))</formula>
    </cfRule>
    <cfRule type="containsText" dxfId="12" priority="432" operator="containsText" text="Medium">
      <formula>NOT(ISERROR(SEARCH("Medium",A2)))</formula>
    </cfRule>
  </conditionalFormatting>
  <conditionalFormatting sqref="A2:A42">
    <cfRule type="containsBlanks" dxfId="11" priority="493">
      <formula>LEN(TRIM(A2))=0</formula>
    </cfRule>
  </conditionalFormatting>
  <conditionalFormatting sqref="A2:AL42">
    <cfRule type="expression" dxfId="10" priority="409" stopIfTrue="1">
      <formula>$B2=cfg_type_comment</formula>
    </cfRule>
    <cfRule type="expression" dxfId="9" priority="410">
      <formula>$B2=cfg_type_skip</formula>
    </cfRule>
    <cfRule type="expression" dxfId="8" priority="411">
      <formula>$B2=cfg_type_note</formula>
    </cfRule>
  </conditionalFormatting>
  <conditionalFormatting sqref="B2:B42">
    <cfRule type="containsText" dxfId="7" priority="413" operator="containsText" text="epic">
      <formula>NOT(ISERROR(SEARCH("epic",B2)))</formula>
    </cfRule>
    <cfRule type="containsText" dxfId="6" priority="427" operator="containsText" text="story">
      <formula>NOT(ISERROR(SEARCH("story",B2)))</formula>
    </cfRule>
    <cfRule type="containsText" dxfId="5" priority="433" operator="containsText" text="task">
      <formula>NOT(ISERROR(SEARCH("task",B2)))</formula>
    </cfRule>
    <cfRule type="containsBlanks" dxfId="4" priority="492">
      <formula>LEN(TRIM(B2))=0</formula>
    </cfRule>
  </conditionalFormatting>
  <conditionalFormatting sqref="B2:AL42">
    <cfRule type="expression" dxfId="3" priority="1">
      <formula>$B2="Epic"</formula>
    </cfRule>
    <cfRule type="expression" dxfId="2" priority="2">
      <formula>$B2="Story"</formula>
    </cfRule>
  </conditionalFormatting>
  <conditionalFormatting sqref="C2:C42">
    <cfRule type="containsBlanks" dxfId="1" priority="494">
      <formula>LEN(TRIM(C2))=0</formula>
    </cfRule>
  </conditionalFormatting>
  <conditionalFormatting sqref="M2:N42">
    <cfRule type="containsBlanks" dxfId="0" priority="412">
      <formula>LEN(TRIM(M2))=0</formula>
    </cfRule>
  </conditionalFormatting>
  <dataValidations xWindow="1573" yWindow="665" count="21">
    <dataValidation type="whole" allowBlank="1" showErrorMessage="1" prompt="It must be a number (integer). This reference is only used during the import process." sqref="M2:N3" xr:uid="{005E18F2-4447-4781-8F18-5A58920A4F75}">
      <formula1>1</formula1>
      <formula2>1000</formula2>
    </dataValidation>
    <dataValidation allowBlank="1" showInputMessage="1" showErrorMessage="1" error="must be a valid component" sqref="L2:L42" xr:uid="{386E3B68-2486-4DDE-BEB1-45F897521149}"/>
    <dataValidation type="whole" allowBlank="1" showErrorMessage="1" promptTitle="Warning" prompt="This field should be the Issue ID or Issue Key of the child tasks. (upstream linkage is not possible)._x000a__x000a__x000a_To link Epics and Stories, use the Epic Link from the Story Issue." sqref="Q2:S42" xr:uid="{D7BD960D-9CEA-4120-B2E3-2AE0D4661093}">
      <formula1>1</formula1>
      <formula2>1000</formula2>
    </dataValidation>
    <dataValidation allowBlank="1" showInputMessage="1" showErrorMessage="1" promptTitle="Note" prompt="The content of this column will be ignored during the Jira import." sqref="AL2:AL42" xr:uid="{2DA3EDB6-7635-4349-8860-B614B5B71275}"/>
    <dataValidation allowBlank="1" showInputMessage="1" showErrorMessage="1" promptTitle="Permissions" prompt="Updating Existing Issues requires global admin permissions" sqref="D2:D42" xr:uid="{D5E4A4BB-53C8-42DF-9B52-F5E00AC6407B}"/>
    <dataValidation type="whole" allowBlank="1" showErrorMessage="1" promptTitle="Warning" prompt="Use the Issue ID value to link this work item to an Epic_x000a__x000a_Story Issues are not Child-Issues and should have Epic Link instead. " sqref="O2:O42" xr:uid="{16C14239-D6AA-4935-8809-57760481D8F1}">
      <formula1>1</formula1>
      <formula2>1000</formula2>
    </dataValidation>
    <dataValidation allowBlank="1" showInputMessage="1" showErrorMessage="1" prompt="It must be a number (integer). This reference is only used during the import process." sqref="M1" xr:uid="{9C637146-F2E3-4D08-87A8-F70FD358E47E}"/>
    <dataValidation allowBlank="1" showInputMessage="1" showErrorMessage="1" prompt="Use the Issue ID value to link this work item to an Epic_x000a__x000a_Story Issues are not Child-Issues and should have Epic Link instead. " sqref="O1" xr:uid="{A61138FD-C2B2-49D2-810B-69EAE2230B73}"/>
    <dataValidation allowBlank="1" showInputMessage="1" showErrorMessage="1" prompt="This field should be the Issue ID or Issue Key of the child tasks. (upstream linkage is not possible)._x000a__x000a__x000a_To link Epics and Stories, use the Epic Link from the Story Issue." sqref="Q1:S1" xr:uid="{BE6B7503-A11A-4130-9D63-988F0CFED80E}"/>
    <dataValidation allowBlank="1" showInputMessage="1" showErrorMessage="1" error="must be a valid fixversion" promptTitle="AUTOMATIC FIELD" prompt="Do not manually edit these!" sqref="AE2:AE42 AH1:AJ42" xr:uid="{893DA5FE-9FD0-4D28-BBD0-3D7AEDECEACB}"/>
    <dataValidation type="list" allowBlank="1" showInputMessage="1" showErrorMessage="1" error="must be a valid component" sqref="H2:H42" xr:uid="{65EDED96-6789-400B-B504-6BC3F5A79E70}">
      <formula1>INDIRECT("CfgComponents[Component.Name]")</formula1>
    </dataValidation>
    <dataValidation type="list" errorStyle="warning" showErrorMessage="1" error="must be a valid fixversion" sqref="G2:G42" xr:uid="{44FDC20A-8BF5-49B5-9D2C-3A1FE5A7D835}">
      <formula1>INDIRECT("CfgAssignees[Assignee.Name]")</formula1>
    </dataValidation>
    <dataValidation type="list" allowBlank="1" showInputMessage="1" showErrorMessage="1" error="must be a valid component" sqref="I2:I42" xr:uid="{A898E2E7-BC45-4B88-BA1E-4AAA377361D4}">
      <formula1>INDIRECT("CfgSprints[Sprint.Name]")</formula1>
    </dataValidation>
    <dataValidation allowBlank="1" showErrorMessage="1" promptTitle="Warning" prompt="Field only used for Epic Issues, so they can be referenced in Story Issues via the Epic Link field.," sqref="P2:P3 N2:N3" xr:uid="{541AD292-0123-4B65-9663-081991FDF0C1}"/>
    <dataValidation allowBlank="1" showInputMessage="1" showErrorMessage="1" prompt="Field only used for Epic Issues, so they can be referenced in Story Issues via the Epic Link field.," sqref="N1" xr:uid="{64C73155-DEE7-497D-8A98-01E54655ACA8}"/>
    <dataValidation allowBlank="1" showInputMessage="1" showErrorMessage="1" prompt="It must be a number (integer) or the Work Item key. This reference is only used during the import process to set the parent." sqref="N1" xr:uid="{8A2BE248-5762-43AD-9C47-C5A92A2E2357}"/>
    <dataValidation allowBlank="1" showInputMessage="1" showErrorMessage="1" prompt="Field only used for Epic work item, so they can be referenced in Story work items via the Epic Link field. _x000a_DC Only" sqref="P1" xr:uid="{E8F6E005-1F9B-40F3-B24C-E2A3D286C532}"/>
    <dataValidation allowBlank="1" showInputMessage="1" showErrorMessage="1" error="must be a valid fixversion" promptTitle="Creation Marker (Config Sheet)" prompt="Do not manually edit these!" sqref="AF1:AF42" xr:uid="{412C516D-E091-4DDD-9C14-C33AC653C143}"/>
    <dataValidation allowBlank="1" showInputMessage="1" showErrorMessage="1" error="must be a valid fixversion" promptTitle="Feature Pod Label (Config Sheet)" prompt="Do not manually edit these!" sqref="AG1:AG42" xr:uid="{D2234141-379F-4413-AB08-6835BD9FF967}"/>
    <dataValidation allowBlank="1" showInputMessage="1" showErrorMessage="1" error="must be a valid fixversion" promptTitle="AUTOMATIC FIELD" prompt="Do not manually edit these! SKIP types won't be imported into Jira" sqref="AK1:AK42" xr:uid="{5A336857-7D14-4900-8734-BED680BE5154}"/>
    <dataValidation allowBlank="1" error="must be a valid component" sqref="J2:K42" xr:uid="{1FEFE53A-D11F-4B53-8386-11207A2DFB8D}"/>
  </dataValidations>
  <pageMargins left="0.7" right="0.7" top="0.75" bottom="0.75" header="0.3" footer="0.3"/>
  <pageSetup orientation="portrait" r:id="rId1"/>
  <ignoredErrors>
    <ignoredError sqref="F2:F7" calculatedColumn="1"/>
    <ignoredError sqref="G2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573" yWindow="665" count="3">
        <x14:dataValidation type="list" allowBlank="1" showInputMessage="1" showErrorMessage="1" xr:uid="{5EEBB8D5-878D-4D0E-9267-0919B5A1B925}">
          <x14:formula1>
            <xm:f>Config!$O$4:$O$10</xm:f>
          </x14:formula1>
          <xm:sqref>A2:A42</xm:sqref>
        </x14:dataValidation>
        <x14:dataValidation type="list" allowBlank="1" showInputMessage="1" showErrorMessage="1" promptTitle="Issue Type" xr:uid="{28BF52BF-C0B0-4D22-B02F-F1408D5A055B}">
          <x14:formula1>
            <xm:f>Config!$Z$4:$Z$33</xm:f>
          </x14:formula1>
          <xm:sqref>B2:B42</xm:sqref>
        </x14:dataValidation>
        <x14:dataValidation type="list" allowBlank="1" showInputMessage="1" showErrorMessage="1" error="must be a valid fixversion" xr:uid="{7708D6E2-1D6B-41D8-A9EE-0E87219BA8EA}">
          <x14:formula1>
            <xm:f>Config!$G$4:$G$8</xm:f>
          </x14:formula1>
          <xm:sqref>F2:F42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4512-1380-4F02-BB23-352387C91232}">
  <dimension ref="A1:AA21"/>
  <sheetViews>
    <sheetView topLeftCell="B1" workbookViewId="0">
      <selection activeCell="R7" sqref="R7"/>
    </sheetView>
  </sheetViews>
  <sheetFormatPr defaultRowHeight="15" x14ac:dyDescent="0.25"/>
  <cols>
    <col min="1" max="1" width="29.7109375" customWidth="1"/>
    <col min="2" max="2" width="49" bestFit="1" customWidth="1"/>
    <col min="3" max="3" width="4.28515625" customWidth="1"/>
    <col min="4" max="5" width="18.7109375" customWidth="1"/>
    <col min="6" max="6" width="4.28515625" customWidth="1"/>
    <col min="7" max="7" width="18.5703125" customWidth="1"/>
    <col min="8" max="8" width="4.28515625" customWidth="1"/>
    <col min="9" max="9" width="19.140625" customWidth="1"/>
    <col min="10" max="10" width="4.28515625" customWidth="1"/>
    <col min="11" max="11" width="18.5703125" customWidth="1"/>
    <col min="12" max="12" width="4.28515625" customWidth="1"/>
    <col min="13" max="13" width="17.5703125" customWidth="1"/>
    <col min="14" max="14" width="4.28515625" customWidth="1"/>
    <col min="15" max="15" width="18.7109375" customWidth="1"/>
    <col min="16" max="16" width="4.28515625" customWidth="1"/>
    <col min="17" max="18" width="18.7109375" customWidth="1"/>
    <col min="19" max="19" width="35" bestFit="1" customWidth="1"/>
    <col min="24" max="24" width="9.42578125" customWidth="1"/>
    <col min="26" max="26" width="22.28515625" bestFit="1" customWidth="1"/>
  </cols>
  <sheetData>
    <row r="1" spans="1:27" ht="21" x14ac:dyDescent="0.35">
      <c r="A1" s="12" t="s">
        <v>70</v>
      </c>
      <c r="B1" s="12"/>
      <c r="D1" s="12" t="s">
        <v>71</v>
      </c>
      <c r="E1" s="12"/>
      <c r="G1" s="6" t="s">
        <v>56</v>
      </c>
      <c r="I1" s="6" t="s">
        <v>55</v>
      </c>
      <c r="K1" s="6" t="s">
        <v>51</v>
      </c>
      <c r="M1" s="6" t="s">
        <v>68</v>
      </c>
      <c r="O1" s="6" t="s">
        <v>52</v>
      </c>
      <c r="Q1" s="12" t="s">
        <v>86</v>
      </c>
      <c r="R1" s="12"/>
      <c r="S1" s="12"/>
      <c r="U1" s="12" t="s">
        <v>208</v>
      </c>
      <c r="V1" s="12"/>
      <c r="W1" s="12"/>
      <c r="X1" s="12"/>
      <c r="Z1" s="6" t="s">
        <v>73</v>
      </c>
    </row>
    <row r="2" spans="1:27" x14ac:dyDescent="0.25">
      <c r="A2" s="13" t="s">
        <v>76</v>
      </c>
      <c r="B2" s="13"/>
      <c r="C2" s="7"/>
      <c r="D2" s="13" t="s">
        <v>77</v>
      </c>
      <c r="E2" s="13"/>
      <c r="F2" s="7"/>
      <c r="G2" s="10" t="s">
        <v>78</v>
      </c>
      <c r="H2" s="10"/>
      <c r="I2" s="10" t="s">
        <v>79</v>
      </c>
      <c r="J2" s="10"/>
      <c r="K2" s="13" t="s">
        <v>80</v>
      </c>
      <c r="L2" s="13"/>
      <c r="M2" s="9" t="s">
        <v>81</v>
      </c>
      <c r="N2" s="9"/>
      <c r="O2" s="10" t="s">
        <v>82</v>
      </c>
      <c r="P2" s="10"/>
      <c r="Q2" s="13"/>
      <c r="R2" s="13"/>
      <c r="S2" s="9"/>
      <c r="T2" s="7"/>
      <c r="U2" s="7"/>
      <c r="V2" s="7"/>
      <c r="W2" s="7"/>
      <c r="X2" s="7"/>
      <c r="Y2" s="7"/>
      <c r="Z2" s="9" t="s">
        <v>83</v>
      </c>
      <c r="AA2" s="9"/>
    </row>
    <row r="3" spans="1:27" x14ac:dyDescent="0.25">
      <c r="A3" t="s">
        <v>6</v>
      </c>
      <c r="B3" t="s">
        <v>57</v>
      </c>
      <c r="D3" t="s">
        <v>58</v>
      </c>
      <c r="E3" t="s">
        <v>59</v>
      </c>
      <c r="G3" t="s">
        <v>66</v>
      </c>
      <c r="I3" t="s">
        <v>65</v>
      </c>
      <c r="K3" t="s">
        <v>64</v>
      </c>
      <c r="M3" t="s">
        <v>69</v>
      </c>
      <c r="O3" t="s">
        <v>63</v>
      </c>
      <c r="Q3" t="s">
        <v>53</v>
      </c>
      <c r="R3" t="s">
        <v>54</v>
      </c>
      <c r="S3" t="s">
        <v>67</v>
      </c>
      <c r="U3" t="s">
        <v>53</v>
      </c>
      <c r="V3" t="s">
        <v>209</v>
      </c>
      <c r="W3" t="s">
        <v>210</v>
      </c>
      <c r="X3" t="s">
        <v>211</v>
      </c>
      <c r="Z3" s="5" t="s">
        <v>64</v>
      </c>
    </row>
    <row r="4" spans="1:27" x14ac:dyDescent="0.25">
      <c r="A4" t="s">
        <v>106</v>
      </c>
      <c r="B4" t="s">
        <v>109</v>
      </c>
      <c r="G4" t="s">
        <v>60</v>
      </c>
      <c r="I4" t="s">
        <v>153</v>
      </c>
      <c r="K4" t="s">
        <v>39</v>
      </c>
      <c r="M4" t="s">
        <v>34</v>
      </c>
      <c r="O4" s="1" t="s">
        <v>38</v>
      </c>
      <c r="Q4" t="s">
        <v>50</v>
      </c>
      <c r="R4" t="s">
        <v>206</v>
      </c>
      <c r="S4" s="7"/>
      <c r="U4" t="s">
        <v>212</v>
      </c>
      <c r="V4" t="s">
        <v>213</v>
      </c>
      <c r="W4" t="s">
        <v>214</v>
      </c>
      <c r="Z4" t="str" cm="1">
        <f t="array" aca="1" ref="Z4:Z13" ca="1">_xlfn.UNIQUE((_xlfn.VSTACK(INDIRECT("CfgIssueTypes[IssueType.Name]"),INDIRECT("CfgIgnoreList[IgnoreList.Name]"))))</f>
        <v>Story</v>
      </c>
    </row>
    <row r="5" spans="1:27" x14ac:dyDescent="0.25">
      <c r="A5" t="s">
        <v>104</v>
      </c>
      <c r="B5" t="s">
        <v>109</v>
      </c>
      <c r="G5" t="s">
        <v>61</v>
      </c>
      <c r="I5" t="s">
        <v>154</v>
      </c>
      <c r="K5" t="s">
        <v>37</v>
      </c>
      <c r="M5" t="s">
        <v>44</v>
      </c>
      <c r="O5" s="1" t="s">
        <v>47</v>
      </c>
      <c r="Q5" t="s">
        <v>46</v>
      </c>
      <c r="R5" t="s">
        <v>207</v>
      </c>
      <c r="S5" s="7" t="s">
        <v>74</v>
      </c>
      <c r="U5" t="s">
        <v>215</v>
      </c>
      <c r="V5" t="s">
        <v>216</v>
      </c>
      <c r="W5" t="s">
        <v>217</v>
      </c>
      <c r="Z5" t="str">
        <f ca="1"/>
        <v>Task</v>
      </c>
    </row>
    <row r="6" spans="1:27" x14ac:dyDescent="0.25">
      <c r="A6" t="s">
        <v>105</v>
      </c>
      <c r="B6" t="s">
        <v>109</v>
      </c>
      <c r="G6" t="s">
        <v>62</v>
      </c>
      <c r="I6" t="s">
        <v>93</v>
      </c>
      <c r="K6" t="s">
        <v>40</v>
      </c>
      <c r="M6" t="s">
        <v>33</v>
      </c>
      <c r="O6" s="1" t="s">
        <v>88</v>
      </c>
      <c r="Q6" t="s">
        <v>199</v>
      </c>
      <c r="R6" s="11" t="s">
        <v>204</v>
      </c>
      <c r="S6" s="7" t="s">
        <v>75</v>
      </c>
      <c r="U6" t="s">
        <v>218</v>
      </c>
      <c r="V6" t="s">
        <v>219</v>
      </c>
      <c r="W6" t="s">
        <v>220</v>
      </c>
      <c r="Z6" t="str">
        <f ca="1"/>
        <v>Bug</v>
      </c>
    </row>
    <row r="7" spans="1:27" x14ac:dyDescent="0.25">
      <c r="A7" t="s">
        <v>107</v>
      </c>
      <c r="B7" t="s">
        <v>109</v>
      </c>
      <c r="D7" s="2"/>
      <c r="E7" s="2"/>
      <c r="I7" t="s">
        <v>95</v>
      </c>
      <c r="K7" t="s">
        <v>41</v>
      </c>
      <c r="M7" t="s">
        <v>45</v>
      </c>
      <c r="O7" s="1" t="s">
        <v>42</v>
      </c>
      <c r="Q7" t="s">
        <v>200</v>
      </c>
      <c r="R7" t="s">
        <v>205</v>
      </c>
      <c r="S7" s="7"/>
      <c r="U7" t="s">
        <v>221</v>
      </c>
      <c r="V7" t="s">
        <v>222</v>
      </c>
      <c r="W7" t="s">
        <v>223</v>
      </c>
      <c r="Z7" t="str">
        <f ca="1"/>
        <v>Epic</v>
      </c>
    </row>
    <row r="8" spans="1:27" x14ac:dyDescent="0.25">
      <c r="A8" t="s">
        <v>108</v>
      </c>
      <c r="B8" t="s">
        <v>109</v>
      </c>
      <c r="D8" s="2"/>
      <c r="E8" s="2"/>
      <c r="I8" t="s">
        <v>155</v>
      </c>
      <c r="K8" t="s">
        <v>87</v>
      </c>
      <c r="O8" s="1" t="s">
        <v>48</v>
      </c>
      <c r="Q8" t="s">
        <v>201</v>
      </c>
      <c r="R8" t="b">
        <v>1</v>
      </c>
      <c r="S8" s="7"/>
      <c r="Z8" t="str">
        <f ca="1"/>
        <v>Sub-Task</v>
      </c>
    </row>
    <row r="9" spans="1:27" x14ac:dyDescent="0.25">
      <c r="D9" s="2"/>
      <c r="E9" s="2"/>
      <c r="I9" t="s">
        <v>97</v>
      </c>
      <c r="K9" t="s">
        <v>158</v>
      </c>
      <c r="O9" s="1" t="s">
        <v>49</v>
      </c>
      <c r="Q9" t="s">
        <v>202</v>
      </c>
      <c r="R9" t="s">
        <v>203</v>
      </c>
      <c r="S9" s="7"/>
      <c r="Z9" t="str">
        <f ca="1"/>
        <v>Initiative</v>
      </c>
    </row>
    <row r="10" spans="1:27" x14ac:dyDescent="0.25">
      <c r="D10" s="2"/>
      <c r="E10" s="2"/>
      <c r="I10" t="s">
        <v>96</v>
      </c>
      <c r="Q10" t="s">
        <v>225</v>
      </c>
      <c r="R10" t="s">
        <v>226</v>
      </c>
      <c r="S10" s="7"/>
      <c r="Z10" t="str">
        <f ca="1"/>
        <v>Comment</v>
      </c>
    </row>
    <row r="11" spans="1:27" x14ac:dyDescent="0.25">
      <c r="D11" s="2"/>
      <c r="E11" s="2"/>
      <c r="I11" t="s">
        <v>94</v>
      </c>
      <c r="Z11" t="str">
        <f ca="1"/>
        <v>Skip</v>
      </c>
    </row>
    <row r="12" spans="1:27" x14ac:dyDescent="0.25">
      <c r="D12" s="2"/>
      <c r="E12" s="2"/>
      <c r="I12" t="s">
        <v>156</v>
      </c>
      <c r="Z12" t="str">
        <f ca="1"/>
        <v>Note</v>
      </c>
    </row>
    <row r="13" spans="1:27" x14ac:dyDescent="0.25">
      <c r="D13" s="2"/>
      <c r="E13" s="2"/>
      <c r="I13" t="s">
        <v>157</v>
      </c>
      <c r="Z13" t="str">
        <f ca="1"/>
        <v>WorkItem</v>
      </c>
    </row>
    <row r="14" spans="1:27" x14ac:dyDescent="0.25">
      <c r="D14" s="2"/>
      <c r="E14" s="2"/>
    </row>
    <row r="15" spans="1:27" x14ac:dyDescent="0.25">
      <c r="D15" s="2"/>
      <c r="E15" s="2"/>
    </row>
    <row r="16" spans="1:27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</sheetData>
  <mergeCells count="8">
    <mergeCell ref="U1:X1"/>
    <mergeCell ref="Q1:S1"/>
    <mergeCell ref="D1:E1"/>
    <mergeCell ref="A1:B1"/>
    <mergeCell ref="A2:B2"/>
    <mergeCell ref="D2:E2"/>
    <mergeCell ref="K2:L2"/>
    <mergeCell ref="Q2:R2"/>
  </mergeCells>
  <phoneticPr fontId="18" type="noConversion"/>
  <hyperlinks>
    <hyperlink ref="R6" r:id="rId1" xr:uid="{036E3BAD-1783-447C-B2DE-3B51935070AB}"/>
  </hyperlinks>
  <pageMargins left="0.7" right="0.7" top="0.75" bottom="0.75" header="0.3" footer="0.3"/>
  <pageSetup orientation="portrait"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1fd26-9765-4fbe-b6fd-c17c1e55c974">
      <Terms xmlns="http://schemas.microsoft.com/office/infopath/2007/PartnerControls"/>
    </lcf76f155ced4ddcb4097134ff3c332f>
    <TaxCatchAll xmlns="9df69692-83aa-4c55-88c1-62abad05f4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38601AF41D04A88A4BD446922F1A8" ma:contentTypeVersion="15" ma:contentTypeDescription="Create a new document." ma:contentTypeScope="" ma:versionID="e8d32171d27ae41230d53456f24efae5">
  <xsd:schema xmlns:xsd="http://www.w3.org/2001/XMLSchema" xmlns:xs="http://www.w3.org/2001/XMLSchema" xmlns:p="http://schemas.microsoft.com/office/2006/metadata/properties" xmlns:ns2="c471fd26-9765-4fbe-b6fd-c17c1e55c974" xmlns:ns3="9df69692-83aa-4c55-88c1-62abad05f4fe" targetNamespace="http://schemas.microsoft.com/office/2006/metadata/properties" ma:root="true" ma:fieldsID="1f2fb84de5621acf32f385a2ba90fb29" ns2:_="" ns3:_="">
    <xsd:import namespace="c471fd26-9765-4fbe-b6fd-c17c1e55c974"/>
    <xsd:import namespace="9df69692-83aa-4c55-88c1-62abad05f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1fd26-9765-4fbe-b6fd-c17c1e55c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69692-83aa-4c55-88c1-62abad05f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6cf1a7-3894-43e8-8094-3feccbd66ed9}" ma:internalName="TaxCatchAll" ma:showField="CatchAllData" ma:web="9df69692-83aa-4c55-88c1-62abad05f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FE630F-6530-4863-AB67-8477539A0000}">
  <ds:schemaRefs>
    <ds:schemaRef ds:uri="http://schemas.microsoft.com/office/2006/metadata/properties"/>
    <ds:schemaRef ds:uri="http://schemas.microsoft.com/office/infopath/2007/PartnerControls"/>
    <ds:schemaRef ds:uri="c471fd26-9765-4fbe-b6fd-c17c1e55c974"/>
    <ds:schemaRef ds:uri="9df69692-83aa-4c55-88c1-62abad05f4fe"/>
  </ds:schemaRefs>
</ds:datastoreItem>
</file>

<file path=customXml/itemProps2.xml><?xml version="1.0" encoding="utf-8"?>
<ds:datastoreItem xmlns:ds="http://schemas.openxmlformats.org/officeDocument/2006/customXml" ds:itemID="{156C3F15-3876-4FBB-8F24-692088DE8D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83B91-58B3-4C2C-AC55-FFEC9F0DB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1fd26-9765-4fbe-b6fd-c17c1e55c974"/>
    <ds:schemaRef ds:uri="9df69692-83aa-4c55-88c1-62abad05f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Dataset</vt:lpstr>
      <vt:lpstr>Config</vt:lpstr>
      <vt:lpstr>cfg_labels_ft_label</vt:lpstr>
      <vt:lpstr>cfg_labels_ft_name</vt:lpstr>
      <vt:lpstr>cfg_labels_imported</vt:lpstr>
      <vt:lpstr>cfg_projectKey</vt:lpstr>
      <vt:lpstr>cfg_type_comment</vt:lpstr>
      <vt:lpstr>cfg_type_note</vt:lpstr>
      <vt:lpstr>cfg_type_skip</vt:lpstr>
      <vt:lpstr>cfg_type_workitem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Tom_48_97</dc:creator>
  <cp:keywords/>
  <dc:description/>
  <cp:lastModifiedBy>Julien Vida</cp:lastModifiedBy>
  <cp:revision/>
  <dcterms:created xsi:type="dcterms:W3CDTF">2024-11-14T18:58:36Z</dcterms:created>
  <dcterms:modified xsi:type="dcterms:W3CDTF">2026-08-08T23:39:04Z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0x010100FB038601AF41D04A88A4BD446922F1A8</vt:lpwstr>
  </property>
</Properties>
</file>