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4062769F-6A46-4AC5-A90C-0B6BE8F81ED3}" xr6:coauthVersionLast="47" xr6:coauthVersionMax="47" xr10:uidLastSave="{00000000-0000-0000-0000-000000000000}"/>
  <bookViews>
    <workbookView xWindow="3900" yWindow="5655" windowWidth="43200" windowHeight="23445" xr2:uid="{1FA076D1-0294-4A97-AB8C-3ADE2BC9CEA1}"/>
  </bookViews>
  <sheets>
    <sheet name="Dataset" sheetId="1" r:id="rId1"/>
    <sheet name="Config" sheetId="2" r:id="rId2"/>
  </sheets>
  <definedNames>
    <definedName name="cfg_labels_ft_label">Config!$U$5</definedName>
    <definedName name="cfg_labels_ft_name">Config!$U$5</definedName>
    <definedName name="cfg_labels_imported">Config!$U$4</definedName>
    <definedName name="cfg_projectKey">Config!$U$7</definedName>
    <definedName name="cfg_type_comment">Config!$P$4</definedName>
    <definedName name="cfg_type_note">Config!$P$6</definedName>
    <definedName name="cfg_type_skip">Config!$P$5</definedName>
    <definedName name="cfg_type_workitem">Config!$P$7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AJ3" i="1" a="1"/>
  <c r="AF3" i="1" s="1"/>
  <c r="AJ2" i="1" a="1"/>
  <c r="AD2" i="1" s="1"/>
  <c r="O2" i="1"/>
  <c r="AC4" i="2" a="1"/>
  <c r="AH3" i="1" l="1"/>
  <c r="AH2" i="1"/>
  <c r="AE3" i="1"/>
  <c r="AE2" i="1"/>
  <c r="AF2" i="1"/>
  <c r="AG3" i="1"/>
  <c r="AI3" i="1" a="1"/>
  <c r="AD3" i="1"/>
  <c r="AG2" i="1"/>
  <c r="AI2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<sst xmlns="http://schemas.openxmlformats.org/spreadsheetml/2006/main" count="123" uniqueCount="110">
  <si>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</si>
  <si>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</si>
  <si>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</si>
  <si>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</si>
  <si>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</si>
  <si>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</si>
  <si>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</si>
  <si>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</si>
  <si>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</si>
  <si>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</si>
  <si>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</si>
  <si>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</si>
  <si>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</si>
  <si>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</si>
  <si>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</si>
  <si>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</si>
  <si>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</si>
  <si>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</si>
  <si>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</si>
  <si>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</si>
  <si>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</si>
  <si>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</si>
  <si>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</si>
  <si>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</si>
  <si>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</si>
  <si>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</si>
  <si>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</si>
  <si>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</si>
  <si>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</si>
  <si>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</si>
  <si>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</si>
  <si>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</si>
  <si>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</si>
  <si>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</si>
  <si>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</si>
  <si>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</si>
  <si>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</si>
  <si>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</si>
  <si>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</si>
  <si>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</si>
  <si>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</si>
  <si>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</si>
  <si>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</si>
  <si>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</si>
  <si>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</si>
  <si>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Sprint 1</t>
  </si>
  <si>
    <t>Feature Pod Label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</si>
  <si>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</si>
  <si>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</si>
  <si>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</si>
  <si>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</si>
  <si>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</si>
  <si>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</si>
  <si>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</si>
  <si>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</si>
  <si>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</si>
  <si>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</si>
  <si>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</si>
  <si>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</si>
  <si>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</si>
  <si>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</si>
  <si>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</si>
  <si>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</si>
  <si>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</si>
  <si>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</si>
  <si>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</si>
  <si>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</si>
  <si>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</si>
  <si>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</si>
  <si>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</si>
  <si>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</si>
  <si>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</si>
  <si>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</si>
  <si>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</si>
  <si>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</si>
  <si>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</si>
  <si>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</si>
  <si>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</si>
  <si>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</si>
  <si>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</si>
  <si>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</si>
  <si>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Test, Epic</t>
  </si>
  <si>
    <t>This is a test work item</t>
  </si>
  <si>
    <t>Parent</t>
  </si>
  <si>
    <t>Development</t>
  </si>
  <si>
    <t>pod_test</t>
  </si>
  <si>
    <t>jira.connection.site_address</t>
  </si>
  <si>
    <t>jira.project.key</t>
  </si>
  <si>
    <t>validation.skip_issuetypes</t>
  </si>
  <si>
    <t>["comment", "note", "skip"]</t>
  </si>
  <si>
    <t>Version_Tag</t>
  </si>
  <si>
    <t>jt-imported</t>
  </si>
  <si>
    <t>High</t>
  </si>
  <si>
    <t>Sub-Task</t>
  </si>
  <si>
    <t>AtlassianID (cloud) or Email (DC)</t>
  </si>
  <si>
    <t>4w</t>
  </si>
  <si>
    <t>Configuration</t>
  </si>
  <si>
    <t>Custom Fields</t>
  </si>
  <si>
    <t>Id</t>
  </si>
  <si>
    <t>Type</t>
  </si>
  <si>
    <t>Format</t>
  </si>
  <si>
    <t>Initiative</t>
  </si>
  <si>
    <t>https://your-instance.atlassian.net</t>
  </si>
  <si>
    <t>metadata.version</t>
  </si>
  <si>
    <t>PROJECT-KEY</t>
  </si>
  <si>
    <t>Team</t>
  </si>
  <si>
    <t>Teams</t>
  </si>
  <si>
    <t>Team.Name</t>
  </si>
  <si>
    <t>Team.ID</t>
  </si>
  <si>
    <t>Team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</si>
</sst>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7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alignment horizontal="general" vertical="top" textRotation="0" wrapText="0" indent="0" justifyLastLine="0" shrinkToFit="0" readingOrder="0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horizontal="general" vertical="bottom" textRotation="0" wrapText="0" indent="0" justifyLastLine="0" shrinkToFit="1" readingOrder="0"/>
    </dxf>
    <dxf>
      <numFmt numFmtId="30" formatCode="@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K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K3" totalsRowShown="0" headerRowDxfId="54" dataDxfId="53">
  <autoFilter ref="A1:AK3" xr:uid="{933FCFD5-1AB1-4076-B5DD-E2B69F5EB3F2}"/>
  <tableColumns count="37">
    <tableColumn id="3" xr3:uid="{AF2EC907-349C-4651-852D-6E39C61E17FF}" name="Priority" dataDxfId="52"/>
    <tableColumn id="2" xr3:uid="{E90C51F2-4386-421F-A3E4-E2CA9D43D396}" name="IssueType" dataDxfId="51"/>
    <tableColumn id="1" xr3:uid="{BBAD373B-BA13-47E4-9F74-565F4D9E9680}" name="Summary" dataDxfId="50"/>
    <tableColumn id="4" xr3:uid="{026E5B97-FAFC-4E46-860E-0B0C976B1148}" name="Issue Key" dataDxfId="49"/>
    <tableColumn id="5" xr3:uid="{A2C262E8-D544-4669-99F1-151EDE081654}" name="Description" dataDxfId="48"/>
    <tableColumn id="7" xr3:uid="{0FAD1ACC-432E-462C-8B89-71540710BCB5}" name="FixVersion" dataDxfId="47"/>
    <tableColumn id="28" xr3:uid="{07F3030C-7187-4B16-BBDB-798304851975}" name="Assignee.Name" dataDxfId="46"/>
    <tableColumn id="8" xr3:uid="{8C7FB8DB-A85B-4189-93D8-0F0D4EEEF81B}" name="Component" dataDxfId="45"/>
    <tableColumn id="31" xr3:uid="{28FC7838-B632-4214-BEDE-FDACBD086707}" name="Team" dataDxfId="16"/>
    <tableColumn id="9" xr3:uid="{DC5101A8-1204-44D2-BC2C-FEE1A4EFE7C1}" name="Sprint Name" dataDxfId="44"/>
    <tableColumn id="40" xr3:uid="{1F406792-7ED2-4476-8FF4-4C6ABA231C97}" name="Estimate" dataDxfId="43"/>
    <tableColumn id="10" xr3:uid="{70B7C471-B624-430B-8992-4711F27BB17E}" name="Issue ID" dataDxfId="42"/>
    <tableColumn id="30" xr3:uid="{938D6CA2-8309-4146-9B62-E8CDFAB7B1C9}" name="Parent" dataDxfId="41"/>
    <tableColumn id="11" xr3:uid="{594BD56F-7D1D-408F-BEDC-6BB9854C71A1}" name="Epic Link" dataDxfId="40"/>
    <tableColumn id="33" xr3:uid="{3A94D4B2-1A5B-4BBF-B398-E56D2BB7F948}" name="Epic Name" dataDxfId="39">
      <calculatedColumnFormula>IF(JiraDataset[[#This Row],[IssueType]]="Epic",JiraDataset[[#This Row],[Summary]],"")</calculatedColumnFormula>
    </tableColumn>
    <tableColumn id="27" xr3:uid="{911C8FDC-5528-43FC-BDF4-D4761F03C0E5}" name="Child-Issue" dataDxfId="38"/>
    <tableColumn id="41" xr3:uid="{AB248E07-9BFA-42CC-BC41-B4234F677BFB}" name="Child-Issue1" dataDxfId="37"/>
    <tableColumn id="29" xr3:uid="{89D12135-F3E3-4253-844F-1B9A54169953}" name="Child-Issue2" dataDxfId="36"/>
    <tableColumn id="12" xr3:uid="{0699B70E-673B-4238-8A66-12FC943A4812}" name="Labels" dataDxfId="35"/>
    <tableColumn id="13" xr3:uid="{9840B81F-2CA6-4708-8C93-3E7C8F72A676}" name="Labels1" dataDxfId="34"/>
    <tableColumn id="14" xr3:uid="{D4A99C0B-46B7-484A-842E-D62E9D5D9341}" name="Labels2" dataDxfId="33"/>
    <tableColumn id="15" xr3:uid="{1D1C275E-5C65-4393-9663-6C5F617591E1}" name="Labels3" dataDxfId="32"/>
    <tableColumn id="16" xr3:uid="{D823FA91-7106-42D3-9DBC-B337C509EB09}" name="Labels4" dataDxfId="31"/>
    <tableColumn id="17" xr3:uid="{05A07F85-1763-4A66-9CBB-4A760BD03D27}" name="Labels5" dataDxfId="30"/>
    <tableColumn id="18" xr3:uid="{16B98070-7F8A-4FC7-AD99-EA81D0BD26AB}" name="Labels6" dataDxfId="29"/>
    <tableColumn id="19" xr3:uid="{016EAEF4-8EA9-408B-9F1A-ECFB17E81C77}" name="Labels7" dataDxfId="28"/>
    <tableColumn id="26" xr3:uid="{8263F9EC-BF0A-46F7-BA83-6083A4262B91}" name="Labels8" dataDxfId="27"/>
    <tableColumn id="20" xr3:uid="{389B11C5-1B22-48C0-BCA2-72F050425FA1}" name="Labels9" dataDxfId="26"/>
    <tableColumn id="25" xr3:uid="{AE95F8A2-F7F0-4985-9AE6-4201B9792775}" name="Labels10" dataDxfId="25"/>
    <tableColumn id="21" xr3:uid="{105F2D0F-70C1-4517-A55F-4C1DDFE85301}" name="Sprint" dataDxfId="24">
      <calculatedColumnFormula>IF(JiraDataset[[#This Row],[RowType]]=cfg_type_skip,"",IFERROR(VLOOKUP(JiraDataset[[#This Row],[Sprint Name]], Config!$G$4:$H$9, 2, FALSE), ""))</calculatedColumnFormula>
    </tableColumn>
    <tableColumn id="22" xr3:uid="{D5984986-D838-4F87-A554-5DC4CA005452}" name="Labels0001" dataDxfId="23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2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1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20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19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8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7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L3:L5" totalsRowShown="0">
  <autoFilter ref="L3:L5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J3:J5" totalsRowShown="0">
  <autoFilter ref="J3:J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N3:N9" totalsRowShown="0">
  <autoFilter ref="N3:N9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R3:R9" totalsRowShown="0">
  <autoFilter ref="R3:R9" xr:uid="{A6C0EE44-3F60-4588-BF11-75C3DD021846}"/>
  <tableColumns count="1">
    <tableColumn id="1" xr3:uid="{3B3BE2ED-38C4-410B-B0BF-4A9BD9B4B974}" name="Priority.Name" dataDxfId="56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5" totalsRowShown="0">
  <autoFilter ref="A3:B5" xr:uid="{1EF5833D-4918-4C71-A990-1B275126361D}"/>
  <tableColumns count="2">
    <tableColumn id="1" xr3:uid="{7F7B4E10-E51C-443F-875D-3E6A9FD9994C}" name="A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G3:H5" totalsRowShown="0">
  <autoFilter ref="G3:H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T3:V9" totalsRowShown="0">
  <autoFilter ref="T3:V9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5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P3:P6" totalsRowShown="0">
  <autoFilter ref="P3:P6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F499BE-ED9A-4C28-BC5A-BCDEF51C613F}" name="CfgCustomFields" displayName="CfgCustomFields" ref="X3:AA4" insertRow="1" totalsRowShown="0">
  <autoFilter ref="X3:AA4" xr:uid="{3EF499BE-ED9A-4C28-BC5A-BCDEF51C613F}"/>
  <tableColumns count="4">
    <tableColumn id="1" xr3:uid="{44010E5A-E449-477A-BFB0-2ECA215E3FEB}" name="Name"/>
    <tableColumn id="2" xr3:uid="{0E558995-744D-4813-9A4E-F64FFF5047AE}" name="Id"/>
    <tableColumn id="3" xr3:uid="{8D81F1E3-8799-4AE9-BACA-610A64846357}" name="Type"/>
    <tableColumn id="4" xr3:uid="{BEA106CA-BE66-4629-B856-FE53C841A6BA}" name="Format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BDE4941-2A84-46A5-8151-88377A8724D2}" name="CfgTeams" displayName="CfgTeams" ref="D3:E4" totalsRowShown="0">
  <autoFilter ref="D3:E4" xr:uid="{9BDE4941-2A84-46A5-8151-88377A8724D2}"/>
  <tableColumns count="2">
    <tableColumn id="1" xr3:uid="{00649780-E35F-4B89-8C72-05E0797C267E}" name="Team.Name"/>
    <tableColumn id="2" xr3:uid="{AE7CB114-5EE3-4BFF-9E4E-5034242719C9}" name="Team.ID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L3"/>
  <sheetViews>
    <sheetView showGridLines="0" tabSelected="1" topLeftCell="H1" workbookViewId="0">
      <selection activeCell="M26" sqref="M26"/>
    </sheetView>
  </sheetViews>
  <sheetFormatPr defaultRowHeight="15" outlineLevelCol="1" x14ac:dyDescent="0.25"/>
  <cols>
    <col min="1" max="2" width="12.42578125" bestFit="1" customWidth="1"/>
    <col min="3" max="3" width="50" customWidth="1"/>
    <col min="4" max="4" width="50" hidden="1" customWidth="1"/>
    <col min="5" max="5" width="50" customWidth="1"/>
    <col min="6" max="6" width="20.85546875" customWidth="1"/>
    <col min="7" max="10" width="14.28515625" customWidth="1"/>
    <col min="11" max="11" width="11.42578125" customWidth="1"/>
    <col min="12" max="12" width="14.42578125" bestFit="1" customWidth="1"/>
    <col min="13" max="13" width="14.28515625" customWidth="1"/>
    <col min="14" max="14" width="14.42578125" customWidth="1"/>
    <col min="15" max="15" width="14.28515625" customWidth="1"/>
    <col min="16" max="16" width="0" hidden="1" customWidth="1"/>
    <col min="17" max="17" width="22.28515625" hidden="1" customWidth="1"/>
    <col min="18" max="18" width="9.85546875" hidden="1" customWidth="1"/>
    <col min="19" max="25" width="11.42578125" customWidth="1"/>
    <col min="26" max="29" width="11.42578125" customWidth="1" outlineLevel="1"/>
    <col min="30" max="31" width="10" customWidth="1" outlineLevel="1"/>
    <col min="32" max="32" width="10" customWidth="1"/>
    <col min="33" max="33" width="8.7109375" customWidth="1" outlineLevel="1"/>
    <col min="34" max="35" width="13.140625" customWidth="1" outlineLevel="1"/>
    <col min="36" max="36" width="11.42578125" customWidth="1" outlineLevel="1"/>
    <col min="37" max="38" width="13.7109375" customWidth="1" outlineLevel="1"/>
    <col min="39" max="39" width="36.5703125" bestFit="1" customWidth="1"/>
    <col min="41" max="41" width="18.7109375" customWidth="1"/>
    <col min="42" max="42" width="87.28515625" customWidth="1"/>
  </cols>
  <sheetData>
    <row r="1" spans="1:37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105</v>
      </c>
      <c r="J1" s="3" t="s">
        <v>8</v>
      </c>
      <c r="K1" s="3" t="s">
        <v>9</v>
      </c>
      <c r="L1" s="3" t="s">
        <v>10</v>
      </c>
      <c r="M1" t="s">
        <v>83</v>
      </c>
      <c r="N1" s="3" t="s">
        <v>11</v>
      </c>
      <c r="O1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4" t="s">
        <v>32</v>
      </c>
      <c r="AJ1" s="4" t="s">
        <v>43</v>
      </c>
      <c r="AK1" s="3" t="s">
        <v>33</v>
      </c>
    </row>
    <row r="2" spans="1:37" x14ac:dyDescent="0.25">
      <c r="A2" s="3"/>
      <c r="B2" s="3" t="s">
        <v>34</v>
      </c>
      <c r="C2" s="3" t="s">
        <v>35</v>
      </c>
      <c r="D2" s="3"/>
      <c r="E2" s="3" t="s">
        <v>36</v>
      </c>
      <c r="F2" s="3"/>
      <c r="G2" s="3"/>
      <c r="H2" s="3"/>
      <c r="I2" s="3"/>
      <c r="J2" s="3"/>
      <c r="K2" s="3" t="s">
        <v>69</v>
      </c>
      <c r="L2" s="3">
        <v>1</v>
      </c>
      <c r="M2" s="3"/>
      <c r="N2" s="3"/>
      <c r="O2" s="3" t="str">
        <f>IF(JiraDataset[[#This Row],[IssueType]]="Epic",JiraDataset[[#This Row],[Summary]],"")</f>
        <v/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 t="str">
        <f>IF(JiraDataset[[#This Row],[RowType]]=cfg_type_skip,"",IFERROR(VLOOKUP(JiraDataset[[#This Row],[Sprint Name]], Config!$G$4:$H$9, 2, FALSE), ""))</f>
        <v/>
      </c>
      <c r="AE2" s="3" t="str">
        <f>IF(JiraDataset[[#This Row],[RowType]]=cfg_type_skip,"",_xlfn.XLOOKUP("Creation Marker", CfgAutofieldValues[Name], CfgAutofieldValues[Value]))</f>
        <v/>
      </c>
      <c r="AF2" s="8" t="str">
        <f>IF(JiraDataset[[#This Row],[RowType]]=cfg_type_skip,"",_xlfn.XLOOKUP("Feature Pod Label", CfgAutofieldValues[Name], CfgAutofieldValues[Value]))</f>
        <v/>
      </c>
      <c r="AG2" s="3" t="str">
        <f>IF(JiraDataset[[#This Row],[RowType]]=cfg_type_skip,"",IFERROR(VLOOKUP(JiraDataset[[#This Row],[Assignee.Name]], Config!$A$4:$B$24, 2, FALSE), ""))</f>
        <v/>
      </c>
      <c r="AH2" s="3" t="str">
        <f>IF(JiraDataset[[#This Row],[RowType]]=cfg_type_skip,"",_xlfn.XLOOKUP("jira.project.key", CfgAutofieldValues[Name], CfgAutofieldValues[Value]))</f>
        <v/>
      </c>
      <c r="AI2" s="3" t="str" cm="1">
        <f t="array" ref="AI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J2" s="3" t="str" cm="1">
        <f t="array" ref="AJ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K2" s="3"/>
    </row>
    <row r="3" spans="1:37" x14ac:dyDescent="0.25">
      <c r="A3" s="3" t="s">
        <v>47</v>
      </c>
      <c r="B3" s="3" t="s">
        <v>41</v>
      </c>
      <c r="C3" s="3" t="s">
        <v>81</v>
      </c>
      <c r="D3" s="3"/>
      <c r="E3" s="3" t="s">
        <v>82</v>
      </c>
      <c r="F3" s="3" t="s">
        <v>90</v>
      </c>
      <c r="G3" s="3" t="s">
        <v>53</v>
      </c>
      <c r="H3" s="3" t="s">
        <v>84</v>
      </c>
      <c r="I3" s="3"/>
      <c r="J3" s="3" t="s">
        <v>45</v>
      </c>
      <c r="K3" s="3" t="s">
        <v>95</v>
      </c>
      <c r="L3" s="3">
        <v>2</v>
      </c>
      <c r="M3" s="3"/>
      <c r="N3" s="3"/>
      <c r="O3" s="3" t="str">
        <f>IF(JiraDataset[[#This Row],[IssueType]]="Epic",JiraDataset[[#This Row],[Summary]],"")</f>
        <v>Test, Epic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>
        <f>IF(JiraDataset[[#This Row],[RowType]]=cfg_type_skip,"",IFERROR(VLOOKUP(JiraDataset[[#This Row],[Sprint Name]], Config!$G$4:$H$9, 2, FALSE), ""))</f>
        <v>1</v>
      </c>
      <c r="AE3" s="3" t="str">
        <f>IF(JiraDataset[[#This Row],[RowType]]=cfg_type_skip,"",_xlfn.XLOOKUP("Creation Marker", CfgAutofieldValues[Name], CfgAutofieldValues[Value]))</f>
        <v>jt-imported</v>
      </c>
      <c r="AF3" s="8" t="str">
        <f>IF(JiraDataset[[#This Row],[RowType]]=cfg_type_skip,"",_xlfn.XLOOKUP("Feature Pod Label", CfgAutofieldValues[Name], CfgAutofieldValues[Value]))</f>
        <v>pod_test</v>
      </c>
      <c r="AG3" s="3" t="str">
        <f>IF(JiraDataset[[#This Row],[RowType]]=cfg_type_skip,"",IFERROR(VLOOKUP(JiraDataset[[#This Row],[Assignee.Name]], Config!$A$4:$B$24, 2, FALSE), ""))</f>
        <v>AtlassianID (cloud) or Email (DC)</v>
      </c>
      <c r="AH3" s="3" t="str">
        <f>IF(JiraDataset[[#This Row],[RowType]]=cfg_type_skip,"",_xlfn.XLOOKUP("jira.project.key", CfgAutofieldValues[Name], CfgAutofieldValues[Value]))</f>
        <v>PROJECT-KEY</v>
      </c>
      <c r="AI3" s="3" cm="1">
        <f t="array" ref="AI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34560000</v>
      </c>
      <c r="AJ3" s="3" cm="1">
        <f t="array" ref="AJ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0</v>
      </c>
      <c r="AK3" s="3"/>
    </row>
  </sheetData>
  <protectedRanges>
    <protectedRange sqref="D4:O1048576 Q4:AE1048576 C1:AC3 A1:A1048576" name="User Input"/>
    <protectedRange algorithmName="SHA-512" hashValue="tpheD+JLADkhiyalt6vInlMwkILPZx4PVQN/k2vmwjOBdYUuHaXCrwtObHeFz5dJh9f853O84pZ1Rn9Ujz33+A==" saltValue="9ir5NB4CJc/69S/Eh84/mA==" spinCount="100000" sqref="AD1:AJ3 AF4:AL1048576" name="Computed values"/>
  </protectedRanges>
  <phoneticPr fontId="18" type="noConversion"/>
  <conditionalFormatting sqref="A2:A3 C2:C3">
    <cfRule type="containsText" dxfId="15" priority="430" operator="containsText" text="critical">
      <formula>NOT(ISERROR(SEARCH("critical",A2)))</formula>
    </cfRule>
    <cfRule type="containsText" dxfId="14" priority="431" operator="containsText" text="High">
      <formula>NOT(ISERROR(SEARCH("High",A2)))</formula>
    </cfRule>
    <cfRule type="containsText" dxfId="13" priority="432" operator="containsText" text="Medium">
      <formula>NOT(ISERROR(SEARCH("Medium",A2)))</formula>
    </cfRule>
  </conditionalFormatting>
  <conditionalFormatting sqref="A2:A3">
    <cfRule type="containsBlanks" dxfId="12" priority="493">
      <formula>LEN(TRIM(A2))=0</formula>
    </cfRule>
  </conditionalFormatting>
  <conditionalFormatting sqref="A2:C3">
    <cfRule type="containsText" dxfId="11" priority="429" operator="containsText" text="blocker">
      <formula>NOT(ISERROR(SEARCH("blocker",A2)))</formula>
    </cfRule>
  </conditionalFormatting>
  <conditionalFormatting sqref="A2:AK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K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L2:M3">
    <cfRule type="containsBlanks" dxfId="0" priority="412">
      <formula>LEN(TRIM(L2))=0</formula>
    </cfRule>
  </conditionalFormatting>
  <dataValidations xWindow="1573" yWindow="665" count="22">
    <dataValidation type="whole" allowBlank="1" showErrorMessage="1" prompt="It must be a number (integer). This reference is only used during the import process." sqref="L2:M3" xr:uid="{005E18F2-4447-4781-8F18-5A58920A4F75}">
      <formula1>1</formula1>
      <formula2>1000</formula2>
    </dataValidation>
    <dataValidation allowBlank="1" showInputMessage="1" showErrorMessage="1" error="must be a valid component" sqref="K2:K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P2:R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K2:AK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N2:N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L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N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P1:R1" xr:uid="{BE6B7503-A11A-4130-9D63-988F0CFED80E}"/>
    <dataValidation allowBlank="1" showInputMessage="1" showErrorMessage="1" error="must be a valid fixversion" promptTitle="AUTOMATIC FIELD" prompt="Do not manually edit these!" sqref="AD2:AD3 AG1:AI3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allowBlank="1" showErrorMessage="1" error="must be a valid fixversion" sqref="G2:G3" xr:uid="{44FDC20A-8BF5-49B5-9D2C-3A1FE5A7D835}">
      <formula1>INDIRECT("CfgAssignees[Assignee.Name]")</formula1>
    </dataValidation>
    <dataValidation type="list" allowBlank="1" showInputMessage="1" showErrorMessage="1" error="must be a valid component" sqref="J2:J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O2:O3 M2:M3" xr:uid="{541AD292-0123-4B65-9663-081991FDF0C1}"/>
    <dataValidation allowBlank="1" showInputMessage="1" showErrorMessage="1" prompt="Field only used for Epic Issues, so they can be referenced in Story Issues via the Epic Link field.," sqref="M1" xr:uid="{64C73155-DEE7-497D-8A98-01E54655ACA8}"/>
    <dataValidation allowBlank="1" showInputMessage="1" showErrorMessage="1" prompt="It must be a number (integer) or the Work Item key. This reference is only used during the import process to set the parent." sqref="M1" xr:uid="{8A2BE248-5762-43AD-9C47-C5A92A2E2357}"/>
    <dataValidation allowBlank="1" showInputMessage="1" showErrorMessage="1" prompt="Field only used for Epic work item, so they can be referenced in Story work items via the Epic Link field. _x000a_DC Only" sqref="O1" xr:uid="{E8F6E005-1F9B-40F3-B24C-E2A3D286C532}"/>
    <dataValidation allowBlank="1" showInputMessage="1" showErrorMessage="1" error="must be a valid fixversion" promptTitle="Creation Marker (Config Sheet)" prompt="Do not manually edit these!" sqref="AE1:AE3" xr:uid="{412C516D-E091-4DDD-9C14-C33AC653C143}"/>
    <dataValidation allowBlank="1" showInputMessage="1" showErrorMessage="1" error="must be a valid fixversion" promptTitle="Feature Pod Label (Config Sheet)" prompt="Do not manually edit these!" sqref="AF1:AF3" xr:uid="{D2234141-379F-4413-AB08-6835BD9FF967}"/>
    <dataValidation allowBlank="1" showInputMessage="1" showErrorMessage="1" error="must be a valid fixversion" promptTitle="AUTOMATIC FIELD" prompt="Do not manually edit these! SKIP types won't be imported into Jira" sqref="AJ1:AJ3" xr:uid="{5A336857-7D14-4900-8734-BED680BE5154}"/>
    <dataValidation type="list" allowBlank="1" showInputMessage="1" showErrorMessage="1" error="must be a valid fixversion" sqref="F2:F3" xr:uid="{7708D6E2-1D6B-41D8-A9EE-0E87219BA8EA}">
      <formula1>INDIRECT("CfgFixVersions[FixVersion.Name]")</formula1>
    </dataValidation>
    <dataValidation type="list" allowBlank="1" showInputMessage="1" showErrorMessage="1" error="must be a valid component" sqref="I2:I3" xr:uid="{ED307577-9088-47BA-9824-74F4BBFC13C9}">
      <formula1>INDIRECT("CfgTeams[Team.Name]")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2">
        <x14:dataValidation type="list" allowBlank="1" showInputMessage="1" showErrorMessage="1" xr:uid="{5EEBB8D5-878D-4D0E-9267-0919B5A1B925}">
          <x14:formula1>
            <xm:f>Config!$R$4:$R$10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Config!$AC$4:$AC$33</xm:f>
          </x14:formula1>
          <xm:sqref>B2:B3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AD21"/>
  <sheetViews>
    <sheetView workbookViewId="0">
      <selection activeCell="D18" sqref="D18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49" customWidth="1"/>
    <col min="6" max="6" width="4.28515625" customWidth="1"/>
    <col min="7" max="8" width="18.7109375" customWidth="1"/>
    <col min="9" max="9" width="4.28515625" customWidth="1"/>
    <col min="10" max="10" width="18.5703125" customWidth="1"/>
    <col min="11" max="11" width="4.28515625" customWidth="1"/>
    <col min="12" max="12" width="19.140625" customWidth="1"/>
    <col min="13" max="13" width="4.28515625" customWidth="1"/>
    <col min="14" max="14" width="18.5703125" customWidth="1"/>
    <col min="15" max="15" width="4.28515625" customWidth="1"/>
    <col min="16" max="16" width="17.5703125" customWidth="1"/>
    <col min="17" max="17" width="4.28515625" customWidth="1"/>
    <col min="18" max="18" width="18.7109375" customWidth="1"/>
    <col min="19" max="19" width="4.28515625" customWidth="1"/>
    <col min="20" max="21" width="18.7109375" customWidth="1"/>
    <col min="22" max="22" width="35" bestFit="1" customWidth="1"/>
    <col min="29" max="29" width="22.28515625" bestFit="1" customWidth="1"/>
  </cols>
  <sheetData>
    <row r="1" spans="1:30" ht="21" x14ac:dyDescent="0.35">
      <c r="A1" s="11" t="s">
        <v>67</v>
      </c>
      <c r="B1" s="11"/>
      <c r="D1" s="11" t="s">
        <v>106</v>
      </c>
      <c r="E1" s="11"/>
      <c r="G1" s="11" t="s">
        <v>68</v>
      </c>
      <c r="H1" s="11"/>
      <c r="J1" s="6" t="s">
        <v>56</v>
      </c>
      <c r="L1" s="6" t="s">
        <v>55</v>
      </c>
      <c r="N1" s="6" t="s">
        <v>51</v>
      </c>
      <c r="P1" s="6" t="s">
        <v>65</v>
      </c>
      <c r="R1" s="6" t="s">
        <v>52</v>
      </c>
      <c r="T1" s="11" t="s">
        <v>96</v>
      </c>
      <c r="U1" s="11"/>
      <c r="V1" s="11"/>
      <c r="X1" s="11" t="s">
        <v>97</v>
      </c>
      <c r="Y1" s="11"/>
      <c r="Z1" s="11"/>
      <c r="AA1" s="11"/>
      <c r="AC1" s="6" t="s">
        <v>70</v>
      </c>
    </row>
    <row r="2" spans="1:30" x14ac:dyDescent="0.25">
      <c r="A2" s="12" t="s">
        <v>73</v>
      </c>
      <c r="B2" s="12"/>
      <c r="C2" s="9"/>
      <c r="D2" s="9"/>
      <c r="E2" s="9"/>
      <c r="F2" s="7"/>
      <c r="G2" s="12" t="s">
        <v>74</v>
      </c>
      <c r="H2" s="12"/>
      <c r="I2" s="7"/>
      <c r="J2" s="10" t="s">
        <v>75</v>
      </c>
      <c r="K2" s="10"/>
      <c r="L2" s="10" t="s">
        <v>76</v>
      </c>
      <c r="M2" s="10"/>
      <c r="N2" s="12" t="s">
        <v>77</v>
      </c>
      <c r="O2" s="12"/>
      <c r="P2" s="9" t="s">
        <v>78</v>
      </c>
      <c r="Q2" s="9"/>
      <c r="R2" s="10" t="s">
        <v>79</v>
      </c>
      <c r="S2" s="10"/>
      <c r="T2" s="12"/>
      <c r="U2" s="12"/>
      <c r="V2" s="9"/>
      <c r="W2" s="7"/>
      <c r="X2" s="7"/>
      <c r="Y2" s="7"/>
      <c r="Z2" s="7"/>
      <c r="AA2" s="7"/>
      <c r="AB2" s="7"/>
      <c r="AC2" s="9" t="s">
        <v>80</v>
      </c>
      <c r="AD2" s="9"/>
    </row>
    <row r="3" spans="1:30" x14ac:dyDescent="0.25">
      <c r="A3" t="s">
        <v>6</v>
      </c>
      <c r="B3" t="s">
        <v>57</v>
      </c>
      <c r="D3" t="s">
        <v>107</v>
      </c>
      <c r="E3" t="s">
        <v>108</v>
      </c>
      <c r="G3" t="s">
        <v>58</v>
      </c>
      <c r="H3" t="s">
        <v>59</v>
      </c>
      <c r="J3" t="s">
        <v>63</v>
      </c>
      <c r="L3" t="s">
        <v>62</v>
      </c>
      <c r="N3" t="s">
        <v>61</v>
      </c>
      <c r="P3" t="s">
        <v>66</v>
      </c>
      <c r="R3" t="s">
        <v>60</v>
      </c>
      <c r="T3" t="s">
        <v>53</v>
      </c>
      <c r="U3" t="s">
        <v>54</v>
      </c>
      <c r="V3" t="s">
        <v>64</v>
      </c>
      <c r="X3" t="s">
        <v>53</v>
      </c>
      <c r="Y3" t="s">
        <v>98</v>
      </c>
      <c r="Z3" t="s">
        <v>99</v>
      </c>
      <c r="AA3" t="s">
        <v>100</v>
      </c>
      <c r="AC3" s="5" t="s">
        <v>61</v>
      </c>
    </row>
    <row r="4" spans="1:30" x14ac:dyDescent="0.25">
      <c r="A4" t="s">
        <v>53</v>
      </c>
      <c r="B4" t="s">
        <v>94</v>
      </c>
      <c r="D4" t="s">
        <v>53</v>
      </c>
      <c r="E4" t="s">
        <v>109</v>
      </c>
      <c r="G4" t="s">
        <v>45</v>
      </c>
      <c r="H4">
        <v>1</v>
      </c>
      <c r="J4" t="s">
        <v>90</v>
      </c>
      <c r="L4" t="s">
        <v>84</v>
      </c>
      <c r="N4" t="s">
        <v>39</v>
      </c>
      <c r="P4" t="s">
        <v>34</v>
      </c>
      <c r="R4" s="1" t="s">
        <v>38</v>
      </c>
      <c r="T4" t="s">
        <v>50</v>
      </c>
      <c r="U4" t="s">
        <v>91</v>
      </c>
      <c r="V4" s="7" t="s">
        <v>71</v>
      </c>
      <c r="AC4" t="str" cm="1">
        <f t="array" aca="1" ref="AC4:AC12" ca="1">_xlfn.UNIQUE((_xlfn.VSTACK(INDIRECT("CfgIssueTypes[IssueType.Name]"),INDIRECT("CfgIgnoreList[IgnoreList.Name]"))))</f>
        <v>Story</v>
      </c>
    </row>
    <row r="5" spans="1:30" x14ac:dyDescent="0.25">
      <c r="N5" t="s">
        <v>37</v>
      </c>
      <c r="P5" t="s">
        <v>44</v>
      </c>
      <c r="R5" s="1" t="s">
        <v>47</v>
      </c>
      <c r="T5" t="s">
        <v>46</v>
      </c>
      <c r="U5" t="s">
        <v>85</v>
      </c>
      <c r="V5" s="7" t="s">
        <v>72</v>
      </c>
      <c r="AC5" t="str">
        <f ca="1"/>
        <v>Task</v>
      </c>
    </row>
    <row r="6" spans="1:30" x14ac:dyDescent="0.25">
      <c r="N6" t="s">
        <v>40</v>
      </c>
      <c r="P6" t="s">
        <v>33</v>
      </c>
      <c r="R6" s="1" t="s">
        <v>92</v>
      </c>
      <c r="T6" t="s">
        <v>86</v>
      </c>
      <c r="U6" t="s">
        <v>102</v>
      </c>
      <c r="V6" s="7"/>
      <c r="AC6" t="str">
        <f ca="1"/>
        <v>Bug</v>
      </c>
    </row>
    <row r="7" spans="1:30" x14ac:dyDescent="0.25">
      <c r="G7" s="2"/>
      <c r="H7" s="2"/>
      <c r="N7" t="s">
        <v>41</v>
      </c>
      <c r="R7" s="1" t="s">
        <v>42</v>
      </c>
      <c r="T7" t="s">
        <v>87</v>
      </c>
      <c r="U7" t="s">
        <v>104</v>
      </c>
      <c r="V7" s="7"/>
      <c r="AC7" t="str">
        <f ca="1"/>
        <v>Epic</v>
      </c>
    </row>
    <row r="8" spans="1:30" x14ac:dyDescent="0.25">
      <c r="G8" s="2"/>
      <c r="H8" s="2"/>
      <c r="N8" t="s">
        <v>93</v>
      </c>
      <c r="R8" s="1" t="s">
        <v>48</v>
      </c>
      <c r="T8" t="s">
        <v>103</v>
      </c>
      <c r="U8">
        <v>7</v>
      </c>
      <c r="V8" s="7"/>
      <c r="AC8" t="str">
        <f ca="1"/>
        <v>Sub-Task</v>
      </c>
    </row>
    <row r="9" spans="1:30" x14ac:dyDescent="0.25">
      <c r="G9" s="2"/>
      <c r="H9" s="2"/>
      <c r="N9" t="s">
        <v>101</v>
      </c>
      <c r="R9" s="1" t="s">
        <v>49</v>
      </c>
      <c r="T9" t="s">
        <v>88</v>
      </c>
      <c r="U9" t="s">
        <v>89</v>
      </c>
      <c r="V9" s="7"/>
      <c r="AC9" t="str">
        <f ca="1"/>
        <v>Initiative</v>
      </c>
    </row>
    <row r="10" spans="1:30" x14ac:dyDescent="0.25">
      <c r="G10" s="2"/>
      <c r="H10" s="2"/>
      <c r="V10" s="7"/>
      <c r="AC10" t="str">
        <f ca="1"/>
        <v>Comment</v>
      </c>
    </row>
    <row r="11" spans="1:30" x14ac:dyDescent="0.25">
      <c r="G11" s="2"/>
      <c r="H11" s="2"/>
      <c r="V11" s="7"/>
      <c r="AC11" t="str">
        <f ca="1"/>
        <v>Skip</v>
      </c>
    </row>
    <row r="12" spans="1:30" x14ac:dyDescent="0.25">
      <c r="G12" s="2"/>
      <c r="H12" s="2"/>
      <c r="AC12" t="str">
        <f ca="1"/>
        <v>Note</v>
      </c>
    </row>
    <row r="13" spans="1:30" x14ac:dyDescent="0.25">
      <c r="G13" s="2"/>
      <c r="H13" s="2"/>
    </row>
    <row r="14" spans="1:30" x14ac:dyDescent="0.25">
      <c r="G14" s="2"/>
      <c r="H14" s="2"/>
    </row>
    <row r="15" spans="1:30" x14ac:dyDescent="0.25">
      <c r="G15" s="2"/>
      <c r="H15" s="2"/>
    </row>
    <row r="16" spans="1:30" x14ac:dyDescent="0.25">
      <c r="G16" s="2"/>
      <c r="H16" s="2"/>
    </row>
    <row r="17" spans="7:8" x14ac:dyDescent="0.25">
      <c r="G17" s="2"/>
      <c r="H17" s="2"/>
    </row>
    <row r="18" spans="7:8" x14ac:dyDescent="0.25">
      <c r="G18" s="2"/>
      <c r="H18" s="2"/>
    </row>
    <row r="19" spans="7:8" x14ac:dyDescent="0.25">
      <c r="G19" s="2"/>
      <c r="H19" s="2"/>
    </row>
    <row r="20" spans="7:8" x14ac:dyDescent="0.25">
      <c r="G20" s="2"/>
      <c r="H20" s="2"/>
    </row>
    <row r="21" spans="7:8" x14ac:dyDescent="0.25">
      <c r="G21" s="2"/>
      <c r="H21" s="2"/>
    </row>
  </sheetData>
  <mergeCells count="9">
    <mergeCell ref="X1:AA1"/>
    <mergeCell ref="T1:V1"/>
    <mergeCell ref="G1:H1"/>
    <mergeCell ref="A1:B1"/>
    <mergeCell ref="A2:B2"/>
    <mergeCell ref="G2:H2"/>
    <mergeCell ref="N2:O2"/>
    <mergeCell ref="T2:U2"/>
    <mergeCell ref="D1:E1"/>
  </mergeCells>
  <phoneticPr fontId="18" type="noConversion"/>
  <pageMargins left="0.7" right="0.7" top="0.75" bottom="0.75" header="0.3" footer="0.3"/>
  <pageSetup orientation="portrait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customXml/itemProps3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2026-07-23T16:46:42Z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