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dir\DeerHide\sources\jira-toolkit\resources\Templates\"/>
    </mc:Choice>
  </mc:AlternateContent>
  <xr:revisionPtr revIDLastSave="0" documentId="13_ncr:1_{A3236045-3B1B-4AA4-A5FD-666151BFADFA}" xr6:coauthVersionLast="47" xr6:coauthVersionMax="47" xr10:uidLastSave="{00000000-0000-0000-0000-000000000000}"/>
  <bookViews>
    <workbookView xWindow="8430" yWindow="5325" windowWidth="43200" windowHeight="23445" xr2:uid="{1FA076D1-0294-4A97-AB8C-3ADE2BC9CEA1}"/>
  </bookViews>
  <sheets>
    <sheet name="Dataset" sheetId="1" r:id="rId1"/>
    <sheet name="Config" sheetId="2" r:id="rId2"/>
  </sheets>
  <definedNames>
    <definedName name="cfg_labels_ft_label">Config!$R$5</definedName>
    <definedName name="cfg_labels_ft_name">Config!$R$5</definedName>
    <definedName name="cfg_labels_imported">Config!$R$4</definedName>
    <definedName name="cfg_projectKey">Config!$R$7</definedName>
    <definedName name="cfg_type_comment">Config!$M$4</definedName>
    <definedName name="cfg_type_note">Config!$M$6</definedName>
    <definedName name="cfg_type_skip">Config!$M$5</definedName>
    <definedName name="cfg_type_workitem">Config!$M$7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AI3" i="1" a="1"/>
  <c r="AE3" i="1" s="1"/>
  <c r="AI2" i="1" a="1"/>
  <c r="AC2" i="1" s="1"/>
  <c r="N2" i="1"/>
  <c r="Z4" i="2" a="1"/>
  <c r="AG3" i="1" l="1"/>
  <c r="AG2" i="1"/>
  <c r="AD3" i="1"/>
  <c r="AD2" i="1"/>
  <c r="AE2" i="1"/>
  <c r="AF3" i="1"/>
  <c r="AH3" i="1" a="1"/>
  <c r="AC3" i="1"/>
  <c r="AF2" i="1"/>
  <c r="AH2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<sst xmlns="http://schemas.openxmlformats.org/spreadsheetml/2006/main" count="129" uniqueCount="117">
  <si>
    <t>IssueType</t>
  </si>
  <si>
    <t>Priority</t>
  </si>
  <si>
    <t>Summary</t>
  </si>
  <si>
    <t>Issue Key</t>
  </si>
  <si>
    <t>Description</t>
  </si>
  <si>
    <t>FixVersion</t>
  </si>
  <si>
    <t>Assignee.Name</t>
  </si>
  <si>
    <t>Component</t>
  </si>
  <si>
    <t>Sprint Name</t>
  </si>
  <si>
    <t>Estimate</t>
  </si>
  <si>
    <t>Issue ID</t>
  </si>
  <si>
    <t>Epic Link</t>
  </si>
  <si>
    <t>Epic Name</t>
  </si>
  <si>
    <t>Child-Issue</t>
  </si>
  <si>
    <t>Child-Issue1</t>
  </si>
  <si>
    <t>Child-Issue2</t>
  </si>
  <si>
    <t>Labels</t>
  </si>
  <si>
    <t>Labels1</t>
  </si>
  <si>
    <t>Labels2</t>
  </si>
  <si>
    <t>Labels3</t>
  </si>
  <si>
    <t>Labels4</t>
  </si>
  <si>
    <t>Labels5</t>
  </si>
  <si>
    <t>Labels6</t>
  </si>
  <si>
    <t>Labels7</t>
  </si>
  <si>
    <t>Labels8</t>
  </si>
  <si>
    <t>Labels9</t>
  </si>
  <si>
    <t>Labels10</t>
  </si>
  <si>
    <t>Sprint</t>
  </si>
  <si>
    <t>Labels0001</t>
  </si>
  <si>
    <t>Labels0002</t>
  </si>
  <si>
    <t>Assignee</t>
  </si>
  <si>
    <t>Project Key</t>
  </si>
  <si>
    <t>OrigEst</t>
  </si>
  <si>
    <t>Note</t>
  </si>
  <si>
    <t>Comment</t>
  </si>
  <si>
    <t>FORMULA HOLDER</t>
  </si>
  <si>
    <t>DO NOT DELETE OR CLEAR THIS ROW</t>
  </si>
  <si>
    <t>Task</t>
  </si>
  <si>
    <t>Medium</t>
  </si>
  <si>
    <t>Story</t>
  </si>
  <si>
    <t>Bug</t>
  </si>
  <si>
    <t>Epic</t>
  </si>
  <si>
    <t>Low</t>
  </si>
  <si>
    <t>RowType</t>
  </si>
  <si>
    <t>Skip</t>
  </si>
  <si>
    <t>Sprint 1</t>
  </si>
  <si>
    <t>Feature Pod Label</t>
  </si>
  <si>
    <t>Highest</t>
  </si>
  <si>
    <t>Lowest</t>
  </si>
  <si>
    <t>Triage</t>
  </si>
  <si>
    <t>Creation Marker</t>
  </si>
  <si>
    <t>Issue Type</t>
  </si>
  <si>
    <t>Priority Lists</t>
  </si>
  <si>
    <t>Name</t>
  </si>
  <si>
    <t>Value</t>
  </si>
  <si>
    <t>Components</t>
  </si>
  <si>
    <t>Fix Version</t>
  </si>
  <si>
    <t>Assignee.ID</t>
  </si>
  <si>
    <t>Sprint.Name</t>
  </si>
  <si>
    <t>Sprint.ID</t>
  </si>
  <si>
    <t>Priority.Name</t>
  </si>
  <si>
    <t>IssueType.Name</t>
  </si>
  <si>
    <t>Component.Name</t>
  </si>
  <si>
    <t>FixVersion.Name</t>
  </si>
  <si>
    <t>Remark</t>
  </si>
  <si>
    <t>Ignore List</t>
  </si>
  <si>
    <t>IgnoreList.Name</t>
  </si>
  <si>
    <t>Assignees</t>
  </si>
  <si>
    <t>Sprints</t>
  </si>
  <si>
    <t>1w 2d 3h</t>
  </si>
  <si>
    <t>Combined Types</t>
  </si>
  <si>
    <t>A label added to all imported task to flag them in Jira</t>
  </si>
  <si>
    <t>Appropirate label for the feature pod when relevant</t>
  </si>
  <si>
    <t>List of assignees with their ID (Cloud) or Usernames (DC)</t>
  </si>
  <si>
    <t>Sprints Symbolic Names and their Jira IDs</t>
  </si>
  <si>
    <t>Fix Version Namess</t>
  </si>
  <si>
    <t>List of Components</t>
  </si>
  <si>
    <t>Accepted User Types</t>
  </si>
  <si>
    <t>Issue Types that won't be imported</t>
  </si>
  <si>
    <t>List of Piorities</t>
  </si>
  <si>
    <t>Combined list for the table</t>
  </si>
  <si>
    <t>Test, Epic</t>
  </si>
  <si>
    <t>This is a test work item</t>
  </si>
  <si>
    <t>Parent</t>
  </si>
  <si>
    <t>Development</t>
  </si>
  <si>
    <t>pod_test</t>
  </si>
  <si>
    <t>jira.connection.site_address</t>
  </si>
  <si>
    <t>jira.project.key</t>
  </si>
  <si>
    <t>validation.skip_issuetypes</t>
  </si>
  <si>
    <t>["comment", "note", "skip"]</t>
  </si>
  <si>
    <t>Version_Tag</t>
  </si>
  <si>
    <t>jt-imported</t>
  </si>
  <si>
    <t>High</t>
  </si>
  <si>
    <t>Sub-Task</t>
  </si>
  <si>
    <t>AtlassianID (cloud) or Email (DC)</t>
  </si>
  <si>
    <t>4w</t>
  </si>
  <si>
    <t>Configuration</t>
  </si>
  <si>
    <t>Custom Fields</t>
  </si>
  <si>
    <t>Id</t>
  </si>
  <si>
    <t>Type</t>
  </si>
  <si>
    <t>Format</t>
  </si>
  <si>
    <t>Initiative</t>
  </si>
  <si>
    <t>https://your-instance.atlassian.net</t>
  </si>
  <si>
    <t>metadata.version</t>
  </si>
  <si>
    <t>PROJECT-KEY</t>
  </si>
  <si>
    <t>CF Number</t>
  </si>
  <si>
    <t>CF Plain Text</t>
  </si>
  <si>
    <t>CF Select</t>
  </si>
  <si>
    <t>CF Date</t>
  </si>
  <si>
    <t>customfield_10125</t>
  </si>
  <si>
    <t>customfield_10124</t>
  </si>
  <si>
    <t>customfield_10126</t>
  </si>
  <si>
    <t>customfield_10123</t>
  </si>
  <si>
    <t>number</t>
  </si>
  <si>
    <t>text</t>
  </si>
  <si>
    <t>select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</si>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</sst>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theme="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49" fontId="0" fillId="0" borderId="0" xfId="0" applyNumberFormat="1"/>
    <xf numFmtId="0" fontId="19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3" fillId="33" borderId="10" xfId="0" applyFont="1" applyFill="1" applyBorder="1"/>
    <xf numFmtId="0" fontId="20" fillId="21" borderId="0" xfId="30" applyFont="1" applyAlignment="1">
      <alignment horizontal="center"/>
    </xf>
    <xf numFmtId="0" fontId="0" fillId="0" borderId="0" xfId="0" applyAlignment="1">
      <alignment shrinkToFit="1"/>
    </xf>
    <xf numFmtId="49" fontId="0" fillId="0" borderId="0" xfId="0" applyNumberFormat="1" applyAlignment="1">
      <alignment vertical="top"/>
    </xf>
    <xf numFmtId="0" fontId="15" fillId="0" borderId="0" xfId="16" applyAlignment="1">
      <alignment horizontal="left" shrinkToFit="1"/>
    </xf>
    <xf numFmtId="0" fontId="15" fillId="0" borderId="0" xfId="16" applyAlignment="1">
      <alignment shrinkToFit="1"/>
    </xf>
    <xf numFmtId="0" fontId="20" fillId="21" borderId="0" xfId="30" applyFont="1" applyAlignment="1">
      <alignment horizontal="center"/>
    </xf>
    <xf numFmtId="0" fontId="15" fillId="0" borderId="0" xfId="16" applyAlignment="1">
      <alignment horizontal="left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6">
    <dxf>
      <fill>
        <patternFill patternType="darkUp"/>
      </fill>
    </dxf>
    <dxf>
      <fill>
        <patternFill patternType="solid">
          <fgColor auto="1"/>
          <bgColor rgb="FFFF5050"/>
        </patternFill>
      </fill>
    </dxf>
    <dxf>
      <fill>
        <patternFill>
          <bgColor rgb="FFDAF2D0"/>
        </patternFill>
      </fill>
    </dxf>
    <dxf>
      <fill>
        <patternFill>
          <bgColor rgb="FFF2CEEF"/>
        </patternFill>
      </fill>
    </dxf>
    <dxf>
      <fill>
        <patternFill patternType="solid">
          <fgColor auto="1"/>
          <bgColor rgb="FFFF5050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 val="0"/>
        <i/>
        <strike val="0"/>
        <color theme="0" tint="-0.34998626667073579"/>
      </font>
      <fill>
        <patternFill>
          <bgColor theme="0" tint="-4.9989318521683403E-2"/>
        </patternFill>
      </fill>
    </dxf>
    <dxf>
      <font>
        <strike/>
        <color auto="1"/>
      </font>
      <fill>
        <patternFill patternType="none">
          <bgColor auto="1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b/>
        <i val="0"/>
      </font>
      <fill>
        <patternFill>
          <bgColor rgb="FFFF6699"/>
        </patternFill>
      </fill>
    </dxf>
    <dxf>
      <fill>
        <patternFill patternType="solid">
          <fgColor auto="1"/>
          <bgColor rgb="FFF9B1AB"/>
        </patternFill>
      </fill>
    </dxf>
    <dxf>
      <font>
        <b/>
        <i val="0"/>
      </font>
      <fill>
        <patternFill>
          <bgColor rgb="FFFFCC99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FF99CC"/>
        </patternFill>
      </fill>
    </dxf>
    <dxf>
      <alignment vertical="top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vertical="top"/>
    </dxf>
    <dxf>
      <numFmt numFmtId="0" formatCode="General"/>
      <alignment vertical="top"/>
    </dxf>
    <dxf>
      <numFmt numFmtId="30" formatCode="@"/>
      <alignment vertical="top"/>
    </dxf>
    <dxf>
      <numFmt numFmtId="0" formatCode="General"/>
      <alignment vertical="top"/>
    </dxf>
    <dxf>
      <numFmt numFmtId="0" formatCode="General"/>
      <alignment vertical="top"/>
    </dxf>
    <dxf>
      <alignment vertical="top"/>
    </dxf>
    <dxf>
      <alignment horizontal="general" vertical="top" textRotation="0" wrapText="0" indent="0" justifyLastLine="0" shrinkToFit="0" readingOrder="0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numFmt numFmtId="0" formatCode="General"/>
      <alignment vertical="top"/>
    </dxf>
    <dxf>
      <alignment vertical="top"/>
    </dxf>
    <dxf>
      <numFmt numFmtId="0" formatCode="General"/>
      <alignment horizontal="general" vertical="top" textRotation="0" wrapText="0" indent="0" justifyLastLine="0" shrinkToFit="0" readingOrder="0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b val="0"/>
      </font>
      <numFmt numFmtId="0" formatCode="General"/>
      <alignment vertical="top"/>
    </dxf>
    <dxf>
      <font>
        <b val="0"/>
      </font>
      <alignment vertical="top"/>
    </dxf>
    <dxf>
      <font>
        <b val="0"/>
      </font>
      <alignment vertical="top"/>
    </dxf>
    <dxf>
      <font>
        <b val="0"/>
      </font>
      <alignment vertical="top"/>
    </dxf>
    <dxf>
      <font>
        <b val="0"/>
      </font>
      <alignment vertical="top"/>
    </dxf>
    <dxf>
      <font>
        <b val="0"/>
      </font>
      <alignment horizontal="general" vertical="top" textRotation="0" wrapText="0" indent="0" justifyLastLine="0" shrinkToFit="0" readingOrder="0"/>
    </dxf>
    <dxf>
      <alignment vertical="top"/>
    </dxf>
    <dxf>
      <alignment vertical="top"/>
    </dxf>
    <dxf>
      <alignment horizontal="general" vertical="bottom" textRotation="0" wrapText="0" indent="0" justifyLastLine="0" shrinkToFit="1" readingOrder="0"/>
    </dxf>
    <dxf>
      <numFmt numFmtId="30" formatCode="@"/>
    </dxf>
  </dxfs>
  <tableStyles count="0" defaultTableStyle="TableStyleMedium2" defaultPivotStyle="PivotStyleLight16"/>
  <colors>
    <mruColors>
      <color rgb="FFDAF2D0"/>
      <color rgb="FFF2CEEF"/>
      <color rgb="FFAFE49C"/>
      <color rgb="FFE18FD9"/>
      <color rgb="FFFF5050"/>
      <color rgb="FFF9B1AB"/>
      <color rgb="FFCCECFF"/>
      <color rgb="FF99CCFF"/>
      <color rgb="FFFF66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7233F75-225A-4D7F-8A86-543E0A8C6E58}">
    <nsvFilter filterId="{933FCFD5-1AB1-4076-B5DD-E2B69F5EB3F2}" ref="A1:AJ3" tableId="1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3FCFD5-1AB1-4076-B5DD-E2B69F5EB3F2}" name="JiraDataset" displayName="JiraDataset" ref="A1:AJ3" totalsRowShown="0" headerRowDxfId="53" dataDxfId="52">
  <autoFilter ref="A1:AJ3" xr:uid="{933FCFD5-1AB1-4076-B5DD-E2B69F5EB3F2}"/>
  <tableColumns count="36">
    <tableColumn id="3" xr3:uid="{AF2EC907-349C-4651-852D-6E39C61E17FF}" name="Priority" dataDxfId="51"/>
    <tableColumn id="2" xr3:uid="{E90C51F2-4386-421F-A3E4-E2CA9D43D396}" name="IssueType" dataDxfId="50"/>
    <tableColumn id="1" xr3:uid="{BBAD373B-BA13-47E4-9F74-565F4D9E9680}" name="Summary" dataDxfId="49"/>
    <tableColumn id="4" xr3:uid="{026E5B97-FAFC-4E46-860E-0B0C976B1148}" name="Issue Key" dataDxfId="48"/>
    <tableColumn id="5" xr3:uid="{A2C262E8-D544-4669-99F1-151EDE081654}" name="Description" dataDxfId="47"/>
    <tableColumn id="7" xr3:uid="{0FAD1ACC-432E-462C-8B89-71540710BCB5}" name="FixVersion" dataDxfId="46"/>
    <tableColumn id="28" xr3:uid="{07F3030C-7187-4B16-BBDB-798304851975}" name="Assignee.Name" dataDxfId="45"/>
    <tableColumn id="8" xr3:uid="{8C7FB8DB-A85B-4189-93D8-0F0D4EEEF81B}" name="Component" dataDxfId="44"/>
    <tableColumn id="9" xr3:uid="{DC5101A8-1204-44D2-BC2C-FEE1A4EFE7C1}" name="Sprint Name" dataDxfId="43"/>
    <tableColumn id="40" xr3:uid="{1F406792-7ED2-4476-8FF4-4C6ABA231C97}" name="Estimate" dataDxfId="42"/>
    <tableColumn id="10" xr3:uid="{70B7C471-B624-430B-8992-4711F27BB17E}" name="Issue ID" dataDxfId="41"/>
    <tableColumn id="30" xr3:uid="{938D6CA2-8309-4146-9B62-E8CDFAB7B1C9}" name="Parent" dataDxfId="40"/>
    <tableColumn id="11" xr3:uid="{594BD56F-7D1D-408F-BEDC-6BB9854C71A1}" name="Epic Link" dataDxfId="39"/>
    <tableColumn id="33" xr3:uid="{3A94D4B2-1A5B-4BBF-B398-E56D2BB7F948}" name="Epic Name" dataDxfId="38">
      <calculatedColumnFormula>IF(JiraDataset[[#This Row],[IssueType]]="Epic",JiraDataset[[#This Row],[Summary]],"")</calculatedColumnFormula>
    </tableColumn>
    <tableColumn id="27" xr3:uid="{911C8FDC-5528-43FC-BDF4-D4761F03C0E5}" name="Child-Issue" dataDxfId="37"/>
    <tableColumn id="41" xr3:uid="{AB248E07-9BFA-42CC-BC41-B4234F677BFB}" name="Child-Issue1" dataDxfId="36"/>
    <tableColumn id="29" xr3:uid="{89D12135-F3E3-4253-844F-1B9A54169953}" name="Child-Issue2" dataDxfId="35"/>
    <tableColumn id="12" xr3:uid="{0699B70E-673B-4238-8A66-12FC943A4812}" name="Labels" dataDxfId="34"/>
    <tableColumn id="13" xr3:uid="{9840B81F-2CA6-4708-8C93-3E7C8F72A676}" name="Labels1" dataDxfId="33"/>
    <tableColumn id="14" xr3:uid="{D4A99C0B-46B7-484A-842E-D62E9D5D9341}" name="Labels2" dataDxfId="32"/>
    <tableColumn id="15" xr3:uid="{1D1C275E-5C65-4393-9663-6C5F617591E1}" name="Labels3" dataDxfId="31"/>
    <tableColumn id="16" xr3:uid="{D823FA91-7106-42D3-9DBC-B337C509EB09}" name="Labels4" dataDxfId="30"/>
    <tableColumn id="17" xr3:uid="{05A07F85-1763-4A66-9CBB-4A760BD03D27}" name="Labels5" dataDxfId="29"/>
    <tableColumn id="18" xr3:uid="{16B98070-7F8A-4FC7-AD99-EA81D0BD26AB}" name="Labels6" dataDxfId="28"/>
    <tableColumn id="19" xr3:uid="{016EAEF4-8EA9-408B-9F1A-ECFB17E81C77}" name="Labels7" dataDxfId="27"/>
    <tableColumn id="26" xr3:uid="{8263F9EC-BF0A-46F7-BA83-6083A4262B91}" name="Labels8" dataDxfId="26"/>
    <tableColumn id="20" xr3:uid="{389B11C5-1B22-48C0-BCA2-72F050425FA1}" name="Labels9" dataDxfId="25"/>
    <tableColumn id="25" xr3:uid="{AE95F8A2-F7F0-4985-9AE6-4201B9792775}" name="Labels10" dataDxfId="24"/>
    <tableColumn id="21" xr3:uid="{105F2D0F-70C1-4517-A55F-4C1DDFE85301}" name="Sprint" dataDxfId="23">
      <calculatedColumnFormula>IF(JiraDataset[[#This Row],[RowType]]=cfg_type_skip,"",IFERROR(VLOOKUP(JiraDataset[[#This Row],[Sprint Name]], Config!$D$4:$E$9, 2, FALSE), ""))</calculatedColumnFormula>
    </tableColumn>
    <tableColumn id="22" xr3:uid="{D5984986-D838-4F87-A554-5DC4CA005452}" name="Labels0001" dataDxfId="22">
      <calculatedColumnFormula>IF(JiraDataset[[#This Row],[RowType]]=cfg_type_skip,"",_xlfn.XLOOKUP("Creation Marker", CfgAutofieldValues[Name], CfgAutofieldValues[Value]))</calculatedColumnFormula>
    </tableColumn>
    <tableColumn id="39" xr3:uid="{C24E9ADD-96A8-4DBB-86A0-08D41975D750}" name="Labels0002" dataDxfId="21">
      <calculatedColumnFormula>IF(JiraDataset[[#This Row],[RowType]]=cfg_type_skip,"",_xlfn.XLOOKUP("Feature Pod Label", CfgAutofieldValues[Name], CfgAutofieldValues[Value]))</calculatedColumnFormula>
    </tableColumn>
    <tableColumn id="6" xr3:uid="{A6D8D5A6-43EE-415C-80C1-30372C7FE5BF}" name="Assignee" dataDxfId="20">
      <calculatedColumnFormula>IF(JiraDataset[[#This Row],[RowType]]=cfg_type_skip,"",IFERROR(VLOOKUP(JiraDataset[[#This Row],[Assignee.Name]], Config!$A$4:$B$24, 2, FALSE), ""))</calculatedColumnFormula>
    </tableColumn>
    <tableColumn id="23" xr3:uid="{51D4B5F4-C6D3-4EEC-8B1B-7BEC6E526A64}" name="Project Key" dataDxfId="19">
      <calculatedColumnFormula>IF(JiraDataset[[#This Row],[RowType]]=cfg_type_skip,"",_xlfn.XLOOKUP("jira.project.key", CfgAutofieldValues[Name], CfgAutofieldValues[Value]))</calculatedColumnFormula>
    </tableColumn>
    <tableColumn id="42" xr3:uid="{82B78F0D-CAEF-4615-B12A-B15ACF33913C}" name="OrigEst" dataDxfId="18">
      <calculatedColumnFormula array="1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calculatedColumnFormula>
    </tableColumn>
    <tableColumn id="44" xr3:uid="{C92FD7EC-0EAB-4967-A0E5-D2427E3A55B4}" name="RowType" dataDxfId="17">
      <calculatedColumnFormula array="1">IFERROR(
    _xlfn.IFS(
        JiraDataset[[#This Row],[IssueType]] = cfg_type_comment,"SKIP",
        JiraDataset[[#This Row],[IssueType]] = cfg_type_skip,"SKIP",
        JiraDataset[[#This Row],[IssueType]] = cfg_type_note,"SKIP"
    ),
    cfg_type_workitem
)</calculatedColumnFormula>
    </tableColumn>
    <tableColumn id="24" xr3:uid="{B63E8FC4-20B3-4755-92F2-EA1F700CA72E}" name="Note" dataDxfId="16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F2D14D-2ABD-4171-895D-1041B0893491}" name="CfgComponents" displayName="CfgComponents" ref="I3:I5" totalsRowShown="0">
  <autoFilter ref="I3:I5" xr:uid="{93F2D14D-2ABD-4171-895D-1041B0893491}"/>
  <tableColumns count="1">
    <tableColumn id="1" xr3:uid="{10F6CCA4-1068-4FC8-AB82-E48B87DB0F71}" name="Component.Name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07FF9D-9384-422B-8DB3-300D782E5FE6}" name="CfgFixVersions" displayName="CfgFixVersions" ref="G3:G5" totalsRowShown="0">
  <autoFilter ref="G3:G5" xr:uid="{7007FF9D-9384-422B-8DB3-300D782E5FE6}"/>
  <tableColumns count="1">
    <tableColumn id="1" xr3:uid="{E20FAA91-E54E-42EA-9BFF-2FDA27CD5D33}" name="FixVersion.Name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085B8C-1322-4F43-A516-588923936259}" name="CfgIssueTypes" displayName="CfgIssueTypes" ref="K3:K9" totalsRowShown="0">
  <autoFilter ref="K3:K9" xr:uid="{6F085B8C-1322-4F43-A516-588923936259}"/>
  <tableColumns count="1">
    <tableColumn id="1" xr3:uid="{A92436BC-3156-493F-B5C6-0BB6B51F89EB}" name="IssueType.Name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C0EE44-3F60-4588-BF11-75C3DD021846}" name="CfgPriorities" displayName="CfgPriorities" ref="O3:O9" totalsRowShown="0">
  <autoFilter ref="O3:O9" xr:uid="{A6C0EE44-3F60-4588-BF11-75C3DD021846}"/>
  <tableColumns count="1">
    <tableColumn id="1" xr3:uid="{3B3BE2ED-38C4-410B-B0BF-4A9BD9B4B974}" name="Priority.Name" dataDxfId="55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EF5833D-4918-4C71-A990-1B275126361D}" name="CfgAssignees" displayName="CfgAssignees" ref="A3:B5" totalsRowShown="0">
  <autoFilter ref="A3:B5" xr:uid="{1EF5833D-4918-4C71-A990-1B275126361D}"/>
  <tableColumns count="2">
    <tableColumn id="1" xr3:uid="{7F7B4E10-E51C-443F-875D-3E6A9FD9994C}" name="Assignee.Name"/>
    <tableColumn id="2" xr3:uid="{3A4C6F03-89A9-4E38-8288-00D055D51CD3}" name="Assignee.ID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2674B63-54C8-47AC-9FF0-4034C2D499BA}" name="CfgSprints" displayName="CfgSprints" ref="D3:E5" totalsRowShown="0">
  <autoFilter ref="D3:E5" xr:uid="{72674B63-54C8-47AC-9FF0-4034C2D499BA}"/>
  <tableColumns count="2">
    <tableColumn id="1" xr3:uid="{397B719B-4CC6-4F47-8F3C-168F13ED56DA}" name="Sprint.Name"/>
    <tableColumn id="2" xr3:uid="{2FD208E7-540E-4D07-9144-6E9F3065D9DE}" name="Sprint.ID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83560BC-B1F2-44B6-B877-188131EFA163}" name="CfgAutofieldValues" displayName="CfgAutofieldValues" ref="Q3:S9" totalsRowShown="0">
  <autoFilter ref="Q3:S9" xr:uid="{383560BC-B1F2-44B6-B877-188131EFA163}"/>
  <tableColumns count="3">
    <tableColumn id="1" xr3:uid="{D4E1611F-A2CF-465D-A219-1759EA66687D}" name="Name"/>
    <tableColumn id="2" xr3:uid="{174D0D86-B1AA-4BF7-AC91-FCACFC898851}" name="Value"/>
    <tableColumn id="3" xr3:uid="{4D0493E3-2ED0-412B-9468-835FC91C2910}" name="Remark" dataDxfId="54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ABE2B38-573A-4A51-8D54-C217B9D7D54F}" name="CfgIgnoreList" displayName="CfgIgnoreList" ref="M3:M6" totalsRowShown="0">
  <autoFilter ref="M3:M6" xr:uid="{0ABE2B38-573A-4A51-8D54-C217B9D7D54F}"/>
  <tableColumns count="1">
    <tableColumn id="1" xr3:uid="{1396737E-05D6-4D62-AF56-4B039C3A3607}" name="IgnoreList.Name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F499BE-ED9A-4C28-BC5A-BCDEF51C613F}" name="CfgCustomFields" displayName="CfgCustomFields" ref="U3:X7" totalsRowShown="0">
  <autoFilter ref="U3:X7" xr:uid="{3EF499BE-ED9A-4C28-BC5A-BCDEF51C613F}"/>
  <tableColumns count="4">
    <tableColumn id="1" xr3:uid="{44010E5A-E449-477A-BFB0-2ECA215E3FEB}" name="Name"/>
    <tableColumn id="2" xr3:uid="{0E558995-744D-4813-9A4E-F64FFF5047AE}" name="Id"/>
    <tableColumn id="3" xr3:uid="{8D81F1E3-8799-4AE9-BACA-610A64846357}" name="Type"/>
    <tableColumn id="4" xr3:uid="{BEA106CA-BE66-4629-B856-FE53C841A6BA}" name="Format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058B-F76D-4AAE-8108-6C4469E9D8B5}">
  <dimension ref="A1:AK3"/>
  <sheetViews>
    <sheetView showGridLines="0" tabSelected="1" workbookViewId="0">
      <selection activeCell="A3" sqref="A3"/>
    </sheetView>
  </sheetViews>
  <sheetFormatPr defaultRowHeight="15" outlineLevelCol="1" x14ac:dyDescent="0.25"/>
  <cols>
    <col min="1" max="2" width="12.42578125" bestFit="1" customWidth="1"/>
    <col min="3" max="3" width="31.7109375" customWidth="1"/>
    <col min="4" max="4" width="11.85546875" hidden="1" customWidth="1"/>
    <col min="5" max="5" width="51.5703125" customWidth="1"/>
    <col min="6" max="6" width="19.140625" customWidth="1"/>
    <col min="7" max="7" width="17.42578125" bestFit="1" customWidth="1"/>
    <col min="8" max="8" width="22.5703125" customWidth="1"/>
    <col min="9" max="9" width="14" bestFit="1" customWidth="1"/>
    <col min="10" max="11" width="14.42578125" bestFit="1" customWidth="1"/>
    <col min="12" max="12" width="14.28515625" customWidth="1"/>
    <col min="13" max="13" width="14.42578125" customWidth="1"/>
    <col min="14" max="14" width="14.28515625" customWidth="1"/>
    <col min="15" max="15" width="0" hidden="1" customWidth="1"/>
    <col min="16" max="16" width="22.28515625" hidden="1" customWidth="1"/>
    <col min="17" max="17" width="12.85546875" hidden="1" customWidth="1"/>
    <col min="18" max="18" width="12.42578125" customWidth="1"/>
    <col min="19" max="19" width="15.5703125" customWidth="1"/>
    <col min="20" max="20" width="12.85546875" customWidth="1"/>
    <col min="21" max="21" width="10" customWidth="1"/>
    <col min="22" max="22" width="10" bestFit="1" customWidth="1"/>
    <col min="23" max="23" width="10" customWidth="1"/>
    <col min="24" max="24" width="10.140625" bestFit="1" customWidth="1"/>
    <col min="25" max="30" width="10" customWidth="1" outlineLevel="1"/>
    <col min="31" max="31" width="10" customWidth="1"/>
    <col min="32" max="32" width="8.7109375" customWidth="1" outlineLevel="1"/>
    <col min="33" max="34" width="13.140625" customWidth="1" outlineLevel="1"/>
    <col min="35" max="35" width="11.42578125" customWidth="1" outlineLevel="1"/>
    <col min="36" max="37" width="13.7109375" customWidth="1" outlineLevel="1"/>
    <col min="38" max="38" width="36.5703125" bestFit="1" customWidth="1"/>
    <col min="40" max="40" width="18.7109375" customWidth="1"/>
    <col min="41" max="41" width="87.28515625" customWidth="1"/>
  </cols>
  <sheetData>
    <row r="1" spans="1:36" x14ac:dyDescent="0.25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t="s">
        <v>83</v>
      </c>
      <c r="M1" s="3" t="s">
        <v>11</v>
      </c>
      <c r="N1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4" t="s">
        <v>32</v>
      </c>
      <c r="AI1" s="4" t="s">
        <v>43</v>
      </c>
      <c r="AJ1" s="3" t="s">
        <v>33</v>
      </c>
    </row>
    <row r="2" spans="1:36" x14ac:dyDescent="0.25">
      <c r="A2" s="3"/>
      <c r="B2" s="3" t="s">
        <v>34</v>
      </c>
      <c r="C2" s="3" t="s">
        <v>35</v>
      </c>
      <c r="D2" s="3"/>
      <c r="E2" s="3" t="s">
        <v>36</v>
      </c>
      <c r="F2" s="3"/>
      <c r="G2" s="3"/>
      <c r="H2" s="3"/>
      <c r="I2" s="3"/>
      <c r="J2" s="3" t="s">
        <v>69</v>
      </c>
      <c r="K2" s="3">
        <v>1</v>
      </c>
      <c r="L2" s="3"/>
      <c r="M2" s="3"/>
      <c r="N2" s="3" t="str">
        <f>IF(JiraDataset[[#This Row],[IssueType]]="Epic",JiraDataset[[#This Row],[Summary]],"")</f>
        <v/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 t="str">
        <f>IF(JiraDataset[[#This Row],[RowType]]=cfg_type_skip,"",IFERROR(VLOOKUP(JiraDataset[[#This Row],[Sprint Name]], Config!$D$4:$E$9, 2, FALSE), ""))</f>
        <v/>
      </c>
      <c r="AD2" s="3" t="str">
        <f>IF(JiraDataset[[#This Row],[RowType]]=cfg_type_skip,"",_xlfn.XLOOKUP("Creation Marker", CfgAutofieldValues[Name], CfgAutofieldValues[Value]))</f>
        <v/>
      </c>
      <c r="AE2" s="8" t="str">
        <f>IF(JiraDataset[[#This Row],[RowType]]=cfg_type_skip,"",_xlfn.XLOOKUP("Feature Pod Label", CfgAutofieldValues[Name], CfgAutofieldValues[Value]))</f>
        <v/>
      </c>
      <c r="AF2" s="3" t="str">
        <f>IF(JiraDataset[[#This Row],[RowType]]=cfg_type_skip,"",IFERROR(VLOOKUP(JiraDataset[[#This Row],[Assignee.Name]], Config!$A$4:$B$24, 2, FALSE), ""))</f>
        <v/>
      </c>
      <c r="AG2" s="3" t="str">
        <f>IF(JiraDataset[[#This Row],[RowType]]=cfg_type_skip,"",_xlfn.XLOOKUP("jira.project.key", CfgAutofieldValues[Name], CfgAutofieldValues[Value]))</f>
        <v/>
      </c>
      <c r="AH2" s="3" t="str" cm="1">
        <f t="array" ref="AH2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/>
      </c>
      <c r="AI2" s="3" t="str" cm="1">
        <f t="array" ref="AI2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SKIP</v>
      </c>
      <c r="AJ2" s="3"/>
    </row>
    <row r="3" spans="1:36" x14ac:dyDescent="0.25">
      <c r="A3" s="3" t="s">
        <v>47</v>
      </c>
      <c r="B3" s="3" t="s">
        <v>41</v>
      </c>
      <c r="C3" s="3" t="s">
        <v>81</v>
      </c>
      <c r="D3" s="3"/>
      <c r="E3" s="3" t="s">
        <v>82</v>
      </c>
      <c r="F3" s="3" t="s">
        <v>90</v>
      </c>
      <c r="G3" s="3" t="s">
        <v>53</v>
      </c>
      <c r="H3" s="3" t="s">
        <v>84</v>
      </c>
      <c r="I3" s="3" t="s">
        <v>45</v>
      </c>
      <c r="J3" s="3" t="s">
        <v>95</v>
      </c>
      <c r="K3" s="3">
        <v>2</v>
      </c>
      <c r="L3" s="3"/>
      <c r="M3" s="3"/>
      <c r="N3" s="3" t="str">
        <f>IF(JiraDataset[[#This Row],[IssueType]]="Epic",JiraDataset[[#This Row],[Summary]],"")</f>
        <v>Test, Epic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f>IF(JiraDataset[[#This Row],[RowType]]=cfg_type_skip,"",IFERROR(VLOOKUP(JiraDataset[[#This Row],[Sprint Name]], Config!$D$4:$E$9, 2, FALSE), ""))</f>
        <v>1</v>
      </c>
      <c r="AD3" s="3" t="str">
        <f>IF(JiraDataset[[#This Row],[RowType]]=cfg_type_skip,"",_xlfn.XLOOKUP("Creation Marker", CfgAutofieldValues[Name], CfgAutofieldValues[Value]))</f>
        <v>jt-imported</v>
      </c>
      <c r="AE3" s="8" t="str">
        <f>IF(JiraDataset[[#This Row],[RowType]]=cfg_type_skip,"",_xlfn.XLOOKUP("Feature Pod Label", CfgAutofieldValues[Name], CfgAutofieldValues[Value]))</f>
        <v>pod_test</v>
      </c>
      <c r="AF3" s="3" t="str">
        <f>IF(JiraDataset[[#This Row],[RowType]]=cfg_type_skip,"",IFERROR(VLOOKUP(JiraDataset[[#This Row],[Assignee.Name]], Config!$A$4:$B$24, 2, FALSE), ""))</f>
        <v>AtlassianID (cloud) or Email (DC)</v>
      </c>
      <c r="AG3" s="3" t="str">
        <f>IF(JiraDataset[[#This Row],[RowType]]=cfg_type_skip,"",_xlfn.XLOOKUP("jira.project.key", CfgAutofieldValues[Name], CfgAutofieldValues[Value]))</f>
        <v>PROJECT-KEY</v>
      </c>
      <c r="AH3" s="3" cm="1">
        <f t="array" ref="AH3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34560000</v>
      </c>
      <c r="AI3" s="3" cm="1">
        <f t="array" ref="AI3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0</v>
      </c>
      <c r="AJ3" s="3"/>
    </row>
  </sheetData>
  <protectedRanges>
    <protectedRange sqref="D4:N1048576 P4:AD1048576 C1:AB3 A1:A1048576" name="User Input"/>
    <protectedRange algorithmName="SHA-512" hashValue="tpheD+JLADkhiyalt6vInlMwkILPZx4PVQN/k2vmwjOBdYUuHaXCrwtObHeFz5dJh9f853O84pZ1Rn9Ujz33+A==" saltValue="9ir5NB4CJc/69S/Eh84/mA==" spinCount="100000" sqref="AC1:AI3 AE4:AK1048576" name="Computed values"/>
  </protectedRanges>
  <phoneticPr fontId="18" type="noConversion"/>
  <conditionalFormatting sqref="A2:A3 C2:C3">
    <cfRule type="containsText" dxfId="15" priority="430" operator="containsText" text="critical">
      <formula>NOT(ISERROR(SEARCH("critical",A2)))</formula>
    </cfRule>
    <cfRule type="containsText" dxfId="14" priority="431" operator="containsText" text="High">
      <formula>NOT(ISERROR(SEARCH("High",A2)))</formula>
    </cfRule>
    <cfRule type="containsText" dxfId="13" priority="432" operator="containsText" text="Medium">
      <formula>NOT(ISERROR(SEARCH("Medium",A2)))</formula>
    </cfRule>
  </conditionalFormatting>
  <conditionalFormatting sqref="A2:A3">
    <cfRule type="containsBlanks" dxfId="12" priority="493">
      <formula>LEN(TRIM(A2))=0</formula>
    </cfRule>
  </conditionalFormatting>
  <conditionalFormatting sqref="A2:C3">
    <cfRule type="containsText" dxfId="11" priority="429" operator="containsText" text="blocker">
      <formula>NOT(ISERROR(SEARCH("blocker",A2)))</formula>
    </cfRule>
  </conditionalFormatting>
  <conditionalFormatting sqref="A2:AJ3">
    <cfRule type="expression" dxfId="10" priority="409" stopIfTrue="1">
      <formula>$B2=cfg_type_comment</formula>
    </cfRule>
    <cfRule type="expression" dxfId="9" priority="410">
      <formula>$B2=cfg_type_skip</formula>
    </cfRule>
    <cfRule type="expression" dxfId="8" priority="411">
      <formula>$B2=cfg_type_note</formula>
    </cfRule>
  </conditionalFormatting>
  <conditionalFormatting sqref="B2:B3">
    <cfRule type="containsText" dxfId="7" priority="413" operator="containsText" text="epic">
      <formula>NOT(ISERROR(SEARCH("epic",B2)))</formula>
    </cfRule>
    <cfRule type="containsText" dxfId="6" priority="427" operator="containsText" text="story">
      <formula>NOT(ISERROR(SEARCH("story",B2)))</formula>
    </cfRule>
    <cfRule type="containsText" dxfId="5" priority="433" operator="containsText" text="task">
      <formula>NOT(ISERROR(SEARCH("task",B2)))</formula>
    </cfRule>
    <cfRule type="containsBlanks" dxfId="4" priority="492">
      <formula>LEN(TRIM(B2))=0</formula>
    </cfRule>
  </conditionalFormatting>
  <conditionalFormatting sqref="B2:AJ3">
    <cfRule type="expression" dxfId="3" priority="1">
      <formula>$B2="Epic"</formula>
    </cfRule>
    <cfRule type="expression" dxfId="2" priority="2">
      <formula>$B2="Story"</formula>
    </cfRule>
  </conditionalFormatting>
  <conditionalFormatting sqref="C2:C3">
    <cfRule type="containsBlanks" dxfId="1" priority="494">
      <formula>LEN(TRIM(C2))=0</formula>
    </cfRule>
  </conditionalFormatting>
  <conditionalFormatting sqref="K2:L3">
    <cfRule type="containsBlanks" dxfId="0" priority="412">
      <formula>LEN(TRIM(K2))=0</formula>
    </cfRule>
  </conditionalFormatting>
  <dataValidations xWindow="1573" yWindow="665" count="21">
    <dataValidation type="whole" allowBlank="1" showErrorMessage="1" prompt="It must be a number (integer). This reference is only used during the import process." sqref="K2:L3" xr:uid="{005E18F2-4447-4781-8F18-5A58920A4F75}">
      <formula1>1</formula1>
      <formula2>1000</formula2>
    </dataValidation>
    <dataValidation allowBlank="1" showInputMessage="1" showErrorMessage="1" error="must be a valid component" sqref="J2:J3" xr:uid="{386E3B68-2486-4DDE-BEB1-45F897521149}"/>
    <dataValidation type="whole" allowBlank="1" showErrorMessage="1" promptTitle="Warning" prompt="This field should be the Issue ID or Issue Key of the child tasks. (upstream linkage is not possible)._x000a__x000a__x000a_To link Epics and Stories, use the Epic Link from the Story Issue." sqref="O2:Q3" xr:uid="{D7BD960D-9CEA-4120-B2E3-2AE0D4661093}">
      <formula1>1</formula1>
      <formula2>1000</formula2>
    </dataValidation>
    <dataValidation allowBlank="1" showInputMessage="1" showErrorMessage="1" promptTitle="Note" prompt="The content of this column will be ignored during the Jira import." sqref="AJ2:AJ3" xr:uid="{2DA3EDB6-7635-4349-8860-B614B5B71275}"/>
    <dataValidation allowBlank="1" showInputMessage="1" showErrorMessage="1" promptTitle="Permissions" prompt="Updating Existing Issues requires global admin permissions" sqref="D2:D3" xr:uid="{D5E4A4BB-53C8-42DF-9B52-F5E00AC6407B}"/>
    <dataValidation type="whole" allowBlank="1" showErrorMessage="1" promptTitle="Warning" prompt="Use the Issue ID value to link this work item to an Epic_x000a__x000a_Story Issues are not Child-Issues and should have Epic Link instead. " sqref="M2:M3" xr:uid="{16C14239-D6AA-4935-8809-57760481D8F1}">
      <formula1>1</formula1>
      <formula2>1000</formula2>
    </dataValidation>
    <dataValidation allowBlank="1" showInputMessage="1" showErrorMessage="1" prompt="It must be a number (integer). This reference is only used during the import process." sqref="K1" xr:uid="{9C637146-F2E3-4D08-87A8-F70FD358E47E}"/>
    <dataValidation allowBlank="1" showInputMessage="1" showErrorMessage="1" prompt="Use the Issue ID value to link this work item to an Epic_x000a__x000a_Story Issues are not Child-Issues and should have Epic Link instead. " sqref="M1" xr:uid="{A61138FD-C2B2-49D2-810B-69EAE2230B73}"/>
    <dataValidation allowBlank="1" showInputMessage="1" showErrorMessage="1" prompt="This field should be the Issue ID or Issue Key of the child tasks. (upstream linkage is not possible)._x000a__x000a__x000a_To link Epics and Stories, use the Epic Link from the Story Issue." sqref="O1:Q1" xr:uid="{BE6B7503-A11A-4130-9D63-988F0CFED80E}"/>
    <dataValidation allowBlank="1" showInputMessage="1" showErrorMessage="1" error="must be a valid fixversion" promptTitle="AUTOMATIC FIELD" prompt="Do not manually edit these!" sqref="AC2:AC3 AF1:AH3" xr:uid="{893DA5FE-9FD0-4D28-BBD0-3D7AEDECEACB}"/>
    <dataValidation type="list" allowBlank="1" showInputMessage="1" showErrorMessage="1" error="must be a valid component" sqref="H2:H3" xr:uid="{65EDED96-6789-400B-B504-6BC3F5A79E70}">
      <formula1>INDIRECT("CfgComponents[Component.Name]")</formula1>
    </dataValidation>
    <dataValidation type="list" errorStyle="warning" allowBlank="1" showErrorMessage="1" error="must be a valid fixversion" sqref="G2:G3" xr:uid="{44FDC20A-8BF5-49B5-9D2C-3A1FE5A7D835}">
      <formula1>INDIRECT("CfgAssignees[Assignee.Name]")</formula1>
    </dataValidation>
    <dataValidation type="list" allowBlank="1" showInputMessage="1" showErrorMessage="1" error="must be a valid component" sqref="I2:I3" xr:uid="{A898E2E7-BC45-4B88-BA1E-4AAA377361D4}">
      <formula1>INDIRECT("CfgSprints[Sprint.Name]")</formula1>
    </dataValidation>
    <dataValidation allowBlank="1" showErrorMessage="1" promptTitle="Warning" prompt="Field only used for Epic Issues, so they can be referenced in Story Issues via the Epic Link field.," sqref="N2:N3 L2:L3" xr:uid="{541AD292-0123-4B65-9663-081991FDF0C1}"/>
    <dataValidation allowBlank="1" showInputMessage="1" showErrorMessage="1" prompt="Field only used for Epic Issues, so they can be referenced in Story Issues via the Epic Link field.," sqref="L1" xr:uid="{64C73155-DEE7-497D-8A98-01E54655ACA8}"/>
    <dataValidation allowBlank="1" showInputMessage="1" showErrorMessage="1" prompt="It must be a number (integer) or the Work Item key. This reference is only used during the import process to set the parent." sqref="L1" xr:uid="{8A2BE248-5762-43AD-9C47-C5A92A2E2357}"/>
    <dataValidation allowBlank="1" showInputMessage="1" showErrorMessage="1" prompt="Field only used for Epic work item, so they can be referenced in Story work items via the Epic Link field. _x000a_DC Only" sqref="N1" xr:uid="{E8F6E005-1F9B-40F3-B24C-E2A3D286C532}"/>
    <dataValidation allowBlank="1" showInputMessage="1" showErrorMessage="1" error="must be a valid fixversion" promptTitle="Creation Marker (Config Sheet)" prompt="Do not manually edit these!" sqref="AD1:AD3" xr:uid="{412C516D-E091-4DDD-9C14-C33AC653C143}"/>
    <dataValidation allowBlank="1" showInputMessage="1" showErrorMessage="1" error="must be a valid fixversion" promptTitle="Feature Pod Label (Config Sheet)" prompt="Do not manually edit these!" sqref="AE1:AE3" xr:uid="{D2234141-379F-4413-AB08-6835BD9FF967}"/>
    <dataValidation allowBlank="1" showInputMessage="1" showErrorMessage="1" error="must be a valid fixversion" promptTitle="AUTOMATIC FIELD" prompt="Do not manually edit these! SKIP types won't be imported into Jira" sqref="AI1:AI3" xr:uid="{5A336857-7D14-4900-8734-BED680BE5154}"/>
    <dataValidation type="list" allowBlank="1" showInputMessage="1" showErrorMessage="1" error="must be a valid fixversion" sqref="F2:F3" xr:uid="{7708D6E2-1D6B-41D8-A9EE-0E87219BA8EA}">
      <formula1>INDIRECT("CfgFixVersions[FixVersion.Name]")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1573" yWindow="665" count="2">
        <x14:dataValidation type="list" allowBlank="1" showInputMessage="1" showErrorMessage="1" xr:uid="{5EEBB8D5-878D-4D0E-9267-0919B5A1B925}">
          <x14:formula1>
            <xm:f>Config!$O$4:$O$10</xm:f>
          </x14:formula1>
          <xm:sqref>A2:A3</xm:sqref>
        </x14:dataValidation>
        <x14:dataValidation type="list" allowBlank="1" showInputMessage="1" showErrorMessage="1" promptTitle="Issue Type" xr:uid="{28BF52BF-C0B0-4D22-B02F-F1408D5A055B}">
          <x14:formula1>
            <xm:f>Config!$Z$4:$Z$33</xm:f>
          </x14:formula1>
          <xm:sqref>B2:B3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54512-1380-4F02-BB23-352387C91232}">
  <dimension ref="A1:AA21"/>
  <sheetViews>
    <sheetView workbookViewId="0">
      <selection activeCell="A55" sqref="A55"/>
    </sheetView>
  </sheetViews>
  <sheetFormatPr defaultRowHeight="15" x14ac:dyDescent="0.25"/>
  <cols>
    <col min="1" max="1" width="29.7109375" customWidth="1"/>
    <col min="2" max="2" width="49" bestFit="1" customWidth="1"/>
    <col min="3" max="3" width="4.28515625" customWidth="1"/>
    <col min="4" max="5" width="18.7109375" customWidth="1"/>
    <col min="6" max="6" width="4.28515625" customWidth="1"/>
    <col min="7" max="7" width="18.5703125" customWidth="1"/>
    <col min="8" max="8" width="4.28515625" customWidth="1"/>
    <col min="9" max="9" width="19.140625" customWidth="1"/>
    <col min="10" max="10" width="4.28515625" customWidth="1"/>
    <col min="11" max="11" width="18.5703125" customWidth="1"/>
    <col min="12" max="12" width="4.28515625" customWidth="1"/>
    <col min="13" max="13" width="17.5703125" customWidth="1"/>
    <col min="14" max="14" width="4.28515625" customWidth="1"/>
    <col min="15" max="15" width="18.7109375" customWidth="1"/>
    <col min="16" max="16" width="4.28515625" customWidth="1"/>
    <col min="17" max="18" width="18.7109375" customWidth="1"/>
    <col min="19" max="19" width="35" bestFit="1" customWidth="1"/>
    <col min="26" max="26" width="22.28515625" bestFit="1" customWidth="1"/>
  </cols>
  <sheetData>
    <row r="1" spans="1:27" ht="21" x14ac:dyDescent="0.35">
      <c r="A1" s="11" t="s">
        <v>67</v>
      </c>
      <c r="B1" s="11"/>
      <c r="D1" s="11" t="s">
        <v>68</v>
      </c>
      <c r="E1" s="11"/>
      <c r="G1" s="6" t="s">
        <v>56</v>
      </c>
      <c r="I1" s="6" t="s">
        <v>55</v>
      </c>
      <c r="K1" s="6" t="s">
        <v>51</v>
      </c>
      <c r="M1" s="6" t="s">
        <v>65</v>
      </c>
      <c r="O1" s="6" t="s">
        <v>52</v>
      </c>
      <c r="Q1" s="11" t="s">
        <v>96</v>
      </c>
      <c r="R1" s="11"/>
      <c r="S1" s="11"/>
      <c r="U1" s="11" t="s">
        <v>97</v>
      </c>
      <c r="V1" s="11"/>
      <c r="W1" s="11"/>
      <c r="X1" s="11"/>
      <c r="Z1" s="6" t="s">
        <v>70</v>
      </c>
    </row>
    <row r="2" spans="1:27" x14ac:dyDescent="0.25">
      <c r="A2" s="12" t="s">
        <v>73</v>
      </c>
      <c r="B2" s="12"/>
      <c r="C2" s="7"/>
      <c r="D2" s="12" t="s">
        <v>74</v>
      </c>
      <c r="E2" s="12"/>
      <c r="F2" s="7"/>
      <c r="G2" s="10" t="s">
        <v>75</v>
      </c>
      <c r="H2" s="10"/>
      <c r="I2" s="10" t="s">
        <v>76</v>
      </c>
      <c r="J2" s="10"/>
      <c r="K2" s="12" t="s">
        <v>77</v>
      </c>
      <c r="L2" s="12"/>
      <c r="M2" s="9" t="s">
        <v>78</v>
      </c>
      <c r="N2" s="9"/>
      <c r="O2" s="10" t="s">
        <v>79</v>
      </c>
      <c r="P2" s="10"/>
      <c r="Q2" s="12"/>
      <c r="R2" s="12"/>
      <c r="S2" s="9"/>
      <c r="T2" s="7"/>
      <c r="U2" s="7"/>
      <c r="V2" s="7"/>
      <c r="W2" s="7"/>
      <c r="X2" s="7"/>
      <c r="Y2" s="7"/>
      <c r="Z2" s="9" t="s">
        <v>80</v>
      </c>
      <c r="AA2" s="9"/>
    </row>
    <row r="3" spans="1:27" x14ac:dyDescent="0.25">
      <c r="A3" t="s">
        <v>6</v>
      </c>
      <c r="B3" t="s">
        <v>57</v>
      </c>
      <c r="D3" t="s">
        <v>58</v>
      </c>
      <c r="E3" t="s">
        <v>59</v>
      </c>
      <c r="G3" t="s">
        <v>63</v>
      </c>
      <c r="I3" t="s">
        <v>62</v>
      </c>
      <c r="K3" t="s">
        <v>61</v>
      </c>
      <c r="M3" t="s">
        <v>66</v>
      </c>
      <c r="O3" t="s">
        <v>60</v>
      </c>
      <c r="Q3" t="s">
        <v>53</v>
      </c>
      <c r="R3" t="s">
        <v>54</v>
      </c>
      <c r="S3" t="s">
        <v>64</v>
      </c>
      <c r="U3" t="s">
        <v>53</v>
      </c>
      <c r="V3" t="s">
        <v>98</v>
      </c>
      <c r="W3" t="s">
        <v>99</v>
      </c>
      <c r="X3" t="s">
        <v>100</v>
      </c>
      <c r="Z3" s="5" t="s">
        <v>61</v>
      </c>
    </row>
    <row r="4" spans="1:27" x14ac:dyDescent="0.25">
      <c r="A4" t="s">
        <v>53</v>
      </c>
      <c r="B4" t="s">
        <v>94</v>
      </c>
      <c r="D4" t="s">
        <v>45</v>
      </c>
      <c r="E4">
        <v>1</v>
      </c>
      <c r="G4" t="s">
        <v>90</v>
      </c>
      <c r="I4" t="s">
        <v>84</v>
      </c>
      <c r="K4" t="s">
        <v>39</v>
      </c>
      <c r="M4" t="s">
        <v>34</v>
      </c>
      <c r="O4" s="1" t="s">
        <v>38</v>
      </c>
      <c r="Q4" t="s">
        <v>50</v>
      </c>
      <c r="R4" t="s">
        <v>91</v>
      </c>
      <c r="S4" s="7" t="s">
        <v>71</v>
      </c>
      <c r="U4" t="s">
        <v>105</v>
      </c>
      <c r="V4" t="s">
        <v>109</v>
      </c>
      <c r="W4" t="s">
        <v>113</v>
      </c>
      <c r="Z4" t="str" cm="1">
        <f t="array" aca="1" ref="Z4:Z12" ca="1">_xlfn.UNIQUE((_xlfn.VSTACK(INDIRECT("CfgIssueTypes[IssueType.Name]"),INDIRECT("CfgIgnoreList[IgnoreList.Name]"))))</f>
        <v>Story</v>
      </c>
    </row>
    <row r="5" spans="1:27" x14ac:dyDescent="0.25">
      <c r="K5" t="s">
        <v>37</v>
      </c>
      <c r="M5" t="s">
        <v>44</v>
      </c>
      <c r="O5" s="1" t="s">
        <v>47</v>
      </c>
      <c r="Q5" t="s">
        <v>46</v>
      </c>
      <c r="R5" t="s">
        <v>85</v>
      </c>
      <c r="S5" s="7" t="s">
        <v>72</v>
      </c>
      <c r="U5" t="s">
        <v>106</v>
      </c>
      <c r="V5" t="s">
        <v>110</v>
      </c>
      <c r="W5" t="s">
        <v>114</v>
      </c>
      <c r="Z5" t="str">
        <f ca="1"/>
        <v>Task</v>
      </c>
    </row>
    <row r="6" spans="1:27" x14ac:dyDescent="0.25">
      <c r="K6" t="s">
        <v>40</v>
      </c>
      <c r="M6" t="s">
        <v>33</v>
      </c>
      <c r="O6" s="1" t="s">
        <v>92</v>
      </c>
      <c r="Q6" t="s">
        <v>86</v>
      </c>
      <c r="R6" t="s">
        <v>102</v>
      </c>
      <c r="S6" s="7"/>
      <c r="U6" t="s">
        <v>107</v>
      </c>
      <c r="V6" t="s">
        <v>111</v>
      </c>
      <c r="W6" t="s">
        <v>115</v>
      </c>
      <c r="Z6" t="str">
        <f ca="1"/>
        <v>Bug</v>
      </c>
    </row>
    <row r="7" spans="1:27" x14ac:dyDescent="0.25">
      <c r="D7" s="2"/>
      <c r="E7" s="2"/>
      <c r="K7" t="s">
        <v>41</v>
      </c>
      <c r="O7" s="1" t="s">
        <v>42</v>
      </c>
      <c r="Q7" t="s">
        <v>87</v>
      </c>
      <c r="R7" t="s">
        <v>104</v>
      </c>
      <c r="S7" s="7"/>
      <c r="U7" t="s">
        <v>108</v>
      </c>
      <c r="V7" t="s">
        <v>112</v>
      </c>
      <c r="W7" t="s">
        <v>116</v>
      </c>
      <c r="Z7" t="str">
        <f ca="1"/>
        <v>Epic</v>
      </c>
    </row>
    <row r="8" spans="1:27" x14ac:dyDescent="0.25">
      <c r="D8" s="2"/>
      <c r="E8" s="2"/>
      <c r="K8" t="s">
        <v>93</v>
      </c>
      <c r="O8" s="1" t="s">
        <v>48</v>
      </c>
      <c r="Q8" t="s">
        <v>103</v>
      </c>
      <c r="R8">
        <v>7</v>
      </c>
      <c r="S8" s="7"/>
      <c r="Z8" t="str">
        <f ca="1"/>
        <v>Sub-Task</v>
      </c>
    </row>
    <row r="9" spans="1:27" x14ac:dyDescent="0.25">
      <c r="D9" s="2"/>
      <c r="E9" s="2"/>
      <c r="K9" t="s">
        <v>101</v>
      </c>
      <c r="O9" s="1" t="s">
        <v>49</v>
      </c>
      <c r="Q9" t="s">
        <v>88</v>
      </c>
      <c r="R9" t="s">
        <v>89</v>
      </c>
      <c r="S9" s="7"/>
      <c r="Z9" t="str">
        <f ca="1"/>
        <v>Initiative</v>
      </c>
    </row>
    <row r="10" spans="1:27" x14ac:dyDescent="0.25">
      <c r="D10" s="2"/>
      <c r="E10" s="2"/>
      <c r="S10" s="7"/>
      <c r="Z10" t="str">
        <f ca="1"/>
        <v>Comment</v>
      </c>
    </row>
    <row r="11" spans="1:27" x14ac:dyDescent="0.25">
      <c r="D11" s="2"/>
      <c r="E11" s="2"/>
      <c r="S11" s="7"/>
      <c r="Z11" t="str">
        <f ca="1"/>
        <v>Skip</v>
      </c>
    </row>
    <row r="12" spans="1:27" x14ac:dyDescent="0.25">
      <c r="D12" s="2"/>
      <c r="E12" s="2"/>
      <c r="Z12" t="str">
        <f ca="1"/>
        <v>Note</v>
      </c>
    </row>
    <row r="13" spans="1:27" x14ac:dyDescent="0.25">
      <c r="D13" s="2"/>
      <c r="E13" s="2"/>
    </row>
    <row r="14" spans="1:27" x14ac:dyDescent="0.25">
      <c r="D14" s="2"/>
      <c r="E14" s="2"/>
    </row>
    <row r="15" spans="1:27" x14ac:dyDescent="0.25">
      <c r="D15" s="2"/>
      <c r="E15" s="2"/>
    </row>
    <row r="16" spans="1:27" x14ac:dyDescent="0.25">
      <c r="D16" s="2"/>
      <c r="E16" s="2"/>
    </row>
    <row r="17" spans="4:5" x14ac:dyDescent="0.25">
      <c r="D17" s="2"/>
      <c r="E17" s="2"/>
    </row>
    <row r="18" spans="4:5" x14ac:dyDescent="0.25">
      <c r="D18" s="2"/>
      <c r="E18" s="2"/>
    </row>
    <row r="19" spans="4:5" x14ac:dyDescent="0.25">
      <c r="D19" s="2"/>
      <c r="E19" s="2"/>
    </row>
    <row r="20" spans="4:5" x14ac:dyDescent="0.25">
      <c r="D20" s="2"/>
      <c r="E20" s="2"/>
    </row>
    <row r="21" spans="4:5" x14ac:dyDescent="0.25">
      <c r="D21" s="2"/>
      <c r="E21" s="2"/>
    </row>
  </sheetData>
  <mergeCells count="8">
    <mergeCell ref="U1:X1"/>
    <mergeCell ref="Q1:S1"/>
    <mergeCell ref="D1:E1"/>
    <mergeCell ref="A1:B1"/>
    <mergeCell ref="A2:B2"/>
    <mergeCell ref="D2:E2"/>
    <mergeCell ref="K2:L2"/>
    <mergeCell ref="Q2:R2"/>
  </mergeCells>
  <phoneticPr fontId="18" type="noConversion"/>
  <pageMargins left="0.7" right="0.7" top="0.75" bottom="0.75" header="0.3" footer="0.3"/>
  <pageSetup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1fd26-9765-4fbe-b6fd-c17c1e55c974">
      <Terms xmlns="http://schemas.microsoft.com/office/infopath/2007/PartnerControls"/>
    </lcf76f155ced4ddcb4097134ff3c332f>
    <TaxCatchAll xmlns="9df69692-83aa-4c55-88c1-62abad05f4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038601AF41D04A88A4BD446922F1A8" ma:contentTypeVersion="15" ma:contentTypeDescription="Create a new document." ma:contentTypeScope="" ma:versionID="e8d32171d27ae41230d53456f24efae5">
  <xsd:schema xmlns:xsd="http://www.w3.org/2001/XMLSchema" xmlns:xs="http://www.w3.org/2001/XMLSchema" xmlns:p="http://schemas.microsoft.com/office/2006/metadata/properties" xmlns:ns2="c471fd26-9765-4fbe-b6fd-c17c1e55c974" xmlns:ns3="9df69692-83aa-4c55-88c1-62abad05f4fe" targetNamespace="http://schemas.microsoft.com/office/2006/metadata/properties" ma:root="true" ma:fieldsID="1f2fb84de5621acf32f385a2ba90fb29" ns2:_="" ns3:_="">
    <xsd:import namespace="c471fd26-9765-4fbe-b6fd-c17c1e55c974"/>
    <xsd:import namespace="9df69692-83aa-4c55-88c1-62abad05f4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1fd26-9765-4fbe-b6fd-c17c1e55c9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9cd79a3-f605-49ec-b3bf-026e101358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69692-83aa-4c55-88c1-62abad05f4f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a6cf1a7-3894-43e8-8094-3feccbd66ed9}" ma:internalName="TaxCatchAll" ma:showField="CatchAllData" ma:web="9df69692-83aa-4c55-88c1-62abad05f4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FE630F-6530-4863-AB67-8477539A0000}">
  <ds:schemaRefs>
    <ds:schemaRef ds:uri="http://schemas.microsoft.com/office/2006/metadata/properties"/>
    <ds:schemaRef ds:uri="http://schemas.microsoft.com/office/infopath/2007/PartnerControls"/>
    <ds:schemaRef ds:uri="c471fd26-9765-4fbe-b6fd-c17c1e55c974"/>
    <ds:schemaRef ds:uri="9df69692-83aa-4c55-88c1-62abad05f4fe"/>
  </ds:schemaRefs>
</ds:datastoreItem>
</file>

<file path=customXml/itemProps2.xml><?xml version="1.0" encoding="utf-8"?>
<ds:datastoreItem xmlns:ds="http://schemas.openxmlformats.org/officeDocument/2006/customXml" ds:itemID="{156C3F15-3876-4FBB-8F24-692088DE8D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83B91-58B3-4C2C-AC55-FFEC9F0DB5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1fd26-9765-4fbe-b6fd-c17c1e55c974"/>
    <ds:schemaRef ds:uri="9df69692-83aa-4c55-88c1-62abad05f4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Dataset</vt:lpstr>
      <vt:lpstr>Config</vt:lpstr>
      <vt:lpstr>cfg_labels_ft_label</vt:lpstr>
      <vt:lpstr>cfg_labels_ft_name</vt:lpstr>
      <vt:lpstr>cfg_labels_imported</vt:lpstr>
      <vt:lpstr>cfg_projectKey</vt:lpstr>
      <vt:lpstr>cfg_type_comment</vt:lpstr>
      <vt:lpstr>cfg_type_note</vt:lpstr>
      <vt:lpstr>cfg_type_skip</vt:lpstr>
      <vt:lpstr>cfg_type_workitem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Tom_48_97</dc:creator>
  <cp:keywords/>
  <dc:description/>
  <cp:lastModifiedBy>Julien Vida</cp:lastModifiedBy>
  <cp:revision/>
  <dcterms:created xsi:type="dcterms:W3CDTF">2024-11-14T18:58:36Z</dcterms:created>
  <dcterms:modified xsi:type="dcterms:W3CDTF">2026-07-22T18:21:03Z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0x010100FB038601AF41D04A88A4BD446922F1A8</vt:lpwstr>
  </property>
</Properties>
</file>