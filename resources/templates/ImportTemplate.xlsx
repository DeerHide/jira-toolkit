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ules/Workdir/sources/jira-toolkit/resources/templates/"/>
    </mc:Choice>
  </mc:AlternateContent>
  <xr:revisionPtr revIDLastSave="0" documentId="13_ncr:1_{8715B6CB-C258-0246-816F-293FA3525AAE}" xr6:coauthVersionLast="47" xr6:coauthVersionMax="47" xr10:uidLastSave="{00000000-0000-0000-0000-000000000000}"/>
  <bookViews>
    <workbookView xWindow="16820" yWindow="10420" windowWidth="17560" windowHeight="12420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N5" i="1"/>
  <c r="AI5" i="1" a="1"/>
  <c r="AI5" i="1" s="1"/>
  <c r="F4" i="1"/>
  <c r="N4" i="1"/>
  <c r="AI4" i="1" a="1"/>
  <c r="AI4" i="1" s="1"/>
  <c r="N3" i="1"/>
  <c r="AI3" i="1" a="1"/>
  <c r="AI3" i="1" s="1"/>
  <c r="AE3" i="1" s="1"/>
  <c r="AI2" i="1" a="1"/>
  <c r="AI2" i="1" s="1"/>
  <c r="AC2" i="1" s="1"/>
  <c r="N2" i="1"/>
  <c r="U4" i="2" a="1"/>
  <c r="AD5" i="1" l="1"/>
  <c r="AE5" i="1"/>
  <c r="AC5" i="1"/>
  <c r="AF5" i="1"/>
  <c r="AG5" i="1"/>
  <c r="AH5" i="1" a="1"/>
  <c r="AH5" i="1" s="1"/>
  <c r="AC4" i="1"/>
  <c r="AD4" i="1"/>
  <c r="AE4" i="1"/>
  <c r="AF4" i="1"/>
  <c r="AG4" i="1"/>
  <c r="AH4" i="1" a="1"/>
  <c r="AH4" i="1" s="1"/>
  <c r="AG3" i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<sst xmlns="http://schemas.openxmlformats.org/spreadsheetml/2006/main" count="121" uniqueCount="111">
  <si>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</si>
  <si>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</si>
  <si>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</si>
  <si>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</si>
  <si>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</si>
  <si>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</si>
  <si>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</si>
  <si>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</si>
  <si>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</si>
  <si>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</si>
  <si>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</si>
  <si>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</si>
  <si>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</si>
  <si>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</si>
  <si>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</si>
  <si>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</si>
  <si>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</si>
  <si>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</si>
  <si>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</si>
  <si>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</si>
  <si>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</si>
  <si>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</si>
  <si>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</si>
  <si>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</si>
  <si>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</si>
  <si>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</si>
  <si>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</si>
  <si>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</si>
  <si>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</si>
  <si>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</si>
  <si>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</si>
  <si>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</si>
  <si>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</si>
  <si>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</si>
  <si>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</si>
  <si>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</si>
  <si>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</si>
  <si>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</si>
  <si>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</si>
  <si>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</si>
  <si>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</si>
  <si>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</si>
  <si>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</si>
  <si>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</si>
  <si>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</si>
  <si>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</si>
  <si>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</si>
  <si>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</si>
  <si>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</si>
  <si>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</si>
  <si>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</si>
  <si>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</si>
  <si>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</si>
  <si>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</si>
  <si>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</si>
  <si>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</si>
  <si>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</si>
  <si>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</si>
  <si>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</si>
  <si>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</si>
  <si>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</si>
  <si>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</si>
  <si>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</si>
  <si>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</si>
  <si>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</si>
  <si>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</si>
  <si>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</si>
  <si>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</si>
  <si>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</si>
  <si>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</si>
  <si>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</si>
  <si>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</si>
  <si>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</si>
  <si>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</si>
  <si>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</si>
  <si>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</si>
  <si>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</si>
  <si>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</si>
  <si>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</si>
  <si>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</si>
  <si>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</si>
  <si>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</si>
  <si>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</si>
  <si>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</si>
  <si>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</si>
  <si>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</si>
  <si>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</si>
  <si>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</si>
  <si>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</si>
  <si>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</si>
  <si>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</si>
  <si>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</si>
  <si>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</si>
  <si>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</si>
  <si>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</si>
  <si>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</si>
  <si>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</si>
  <si>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</si>
  <si>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</si>
  <si>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</si>
  <si>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</si>
  <si>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</si>
  <si>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</si>
  <si>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</si>
  <si>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</si>
  <si>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</si>
  <si>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</si>
  <si>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</si>
  <si>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</si>
  <si>
    <t>tst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</si>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</sst>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0" fillId="0" borderId="0" xfId="0" applyFont="1" applyAlignment="1">
      <alignment vertical="top"/>
    </xf>
    <xf numFmtId="0" fontId="0" fillId="0" borderId="0" xfId="0" applyNumberFormat="1" applyFont="1" applyAlignment="1">
      <alignment vertical="top"/>
    </xf>
    <xf numFmtId="0" fontId="0" fillId="0" borderId="0" xfId="0" applyNumberForma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5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5" totalsRowShown="0" headerRowDxfId="87" dataDxfId="86">
  <autoFilter ref="A1:AJ5" xr:uid="{933FCFD5-1AB1-4076-B5DD-E2B69F5EB3F2}"/>
  <tableColumns count="36">
    <tableColumn id="3" xr3:uid="{AF2EC907-349C-4651-852D-6E39C61E17FF}" name="Priority" dataDxfId="85"/>
    <tableColumn id="2" xr3:uid="{E90C51F2-4386-421F-A3E4-E2CA9D43D396}" name="IssueType" dataDxfId="84"/>
    <tableColumn id="1" xr3:uid="{BBAD373B-BA13-47E4-9F74-565F4D9E9680}" name="Summary" dataDxfId="83"/>
    <tableColumn id="4" xr3:uid="{026E5B97-FAFC-4E46-860E-0B0C976B1148}" name="Issue Key" dataDxfId="82"/>
    <tableColumn id="5" xr3:uid="{A2C262E8-D544-4669-99F1-151EDE081654}" name="Description" dataDxfId="81"/>
    <tableColumn id="7" xr3:uid="{0FAD1ACC-432E-462C-8B89-71540710BCB5}" name="FixVersion" dataDxfId="80">
      <calculatedColumnFormula>Config!$G$4</calculatedColumnFormula>
    </tableColumn>
    <tableColumn id="28" xr3:uid="{07F3030C-7187-4B16-BBDB-798304851975}" name="Assignee.Name" dataDxfId="79"/>
    <tableColumn id="8" xr3:uid="{8C7FB8DB-A85B-4189-93D8-0F0D4EEEF81B}" name="Component" dataDxfId="78"/>
    <tableColumn id="9" xr3:uid="{DC5101A8-1204-44D2-BC2C-FEE1A4EFE7C1}" name="Sprint Name" dataDxfId="77"/>
    <tableColumn id="40" xr3:uid="{1F406792-7ED2-4476-8FF4-4C6ABA231C97}" name="Estimate" dataDxfId="76"/>
    <tableColumn id="10" xr3:uid="{70B7C471-B624-430B-8992-4711F27BB17E}" name="Issue ID" dataDxfId="75"/>
    <tableColumn id="30" xr3:uid="{938D6CA2-8309-4146-9B62-E8CDFAB7B1C9}" name="Parent" dataDxfId="74"/>
    <tableColumn id="11" xr3:uid="{594BD56F-7D1D-408F-BEDC-6BB9854C71A1}" name="Epic Link" dataDxfId="73"/>
    <tableColumn id="33" xr3:uid="{3A94D4B2-1A5B-4BBF-B398-E56D2BB7F948}" name="Epic Name" dataDxfId="72">
      <calculatedColumnFormula>IF(JiraDataset[[#This Row],[IssueType]]="Epic",JiraDataset[[#This Row],[Summary]],"")</calculatedColumnFormula>
    </tableColumn>
    <tableColumn id="27" xr3:uid="{911C8FDC-5528-43FC-BDF4-D4761F03C0E5}" name="Child-Issue" dataDxfId="71"/>
    <tableColumn id="41" xr3:uid="{AB248E07-9BFA-42CC-BC41-B4234F677BFB}" name="Child-Issue1" dataDxfId="70"/>
    <tableColumn id="29" xr3:uid="{89D12135-F3E3-4253-844F-1B9A54169953}" name="Child-Issue2" dataDxfId="69"/>
    <tableColumn id="12" xr3:uid="{0699B70E-673B-4238-8A66-12FC943A4812}" name="Labels" dataDxfId="68"/>
    <tableColumn id="13" xr3:uid="{9840B81F-2CA6-4708-8C93-3E7C8F72A676}" name="Labels1" dataDxfId="67"/>
    <tableColumn id="14" xr3:uid="{D4A99C0B-46B7-484A-842E-D62E9D5D9341}" name="Labels2" dataDxfId="66"/>
    <tableColumn id="15" xr3:uid="{1D1C275E-5C65-4393-9663-6C5F617591E1}" name="Labels3" dataDxfId="65"/>
    <tableColumn id="16" xr3:uid="{D823FA91-7106-42D3-9DBC-B337C509EB09}" name="Labels4" dataDxfId="64"/>
    <tableColumn id="17" xr3:uid="{05A07F85-1763-4A66-9CBB-4A760BD03D27}" name="Labels5" dataDxfId="63"/>
    <tableColumn id="18" xr3:uid="{16B98070-7F8A-4FC7-AD99-EA81D0BD26AB}" name="Labels6" dataDxfId="62"/>
    <tableColumn id="19" xr3:uid="{016EAEF4-8EA9-408B-9F1A-ECFB17E81C77}" name="Labels7" dataDxfId="61"/>
    <tableColumn id="26" xr3:uid="{8263F9EC-BF0A-46F7-BA83-6083A4262B91}" name="Labels8" dataDxfId="60"/>
    <tableColumn id="20" xr3:uid="{389B11C5-1B22-48C0-BCA2-72F050425FA1}" name="Labels9" dataDxfId="59"/>
    <tableColumn id="25" xr3:uid="{AE95F8A2-F7F0-4985-9AE6-4201B9792775}" name="Labels10" dataDxfId="58"/>
    <tableColumn id="21" xr3:uid="{105F2D0F-70C1-4517-A55F-4C1DDFE85301}" name="Sprint" dataDxfId="57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56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55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54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53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52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51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5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0" totalsRowShown="0">
  <autoFilter ref="I3:I1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4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48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5"/>
  <sheetViews>
    <sheetView showGridLines="0" tabSelected="1" topLeftCell="F1" workbookViewId="0">
      <selection activeCell="K6" sqref="K6"/>
    </sheetView>
  </sheetViews>
  <sheetFormatPr baseColWidth="10" defaultColWidth="8.83203125" defaultRowHeight="15" outlineLevelCol="1" x14ac:dyDescent="0.2"/>
  <cols>
    <col min="1" max="2" width="12.5" bestFit="1" customWidth="1"/>
    <col min="3" max="3" width="31.6640625" customWidth="1"/>
    <col min="4" max="4" width="11.83203125" hidden="1" customWidth="1"/>
    <col min="5" max="5" width="33" bestFit="1" customWidth="1"/>
    <col min="6" max="6" width="46.33203125" customWidth="1"/>
    <col min="7" max="7" width="17.5" bestFit="1" customWidth="1"/>
    <col min="8" max="8" width="22.5" customWidth="1"/>
    <col min="9" max="9" width="14" bestFit="1" customWidth="1"/>
    <col min="10" max="11" width="14.5" bestFit="1" customWidth="1"/>
    <col min="12" max="12" width="14.33203125" customWidth="1"/>
    <col min="13" max="13" width="14.5" customWidth="1"/>
    <col min="14" max="14" width="14.33203125" customWidth="1"/>
    <col min="15" max="15" width="0" hidden="1" customWidth="1"/>
    <col min="16" max="16" width="22.33203125" hidden="1" customWidth="1"/>
    <col min="17" max="17" width="12.83203125" hidden="1" customWidth="1"/>
    <col min="18" max="18" width="12.5" customWidth="1"/>
    <col min="19" max="19" width="15.5" customWidth="1"/>
    <col min="20" max="20" width="12.83203125" customWidth="1"/>
    <col min="21" max="21" width="10" customWidth="1"/>
    <col min="22" max="22" width="10" bestFit="1" customWidth="1"/>
    <col min="23" max="23" width="10" customWidth="1"/>
    <col min="24" max="24" width="10.164062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640625" customWidth="1" outlineLevel="1"/>
    <col min="35" max="35" width="11.5" customWidth="1" outlineLevel="1"/>
    <col min="36" max="37" width="13.6640625" customWidth="1" outlineLevel="1"/>
    <col min="38" max="38" width="36.5" bestFit="1" customWidth="1"/>
    <col min="40" max="40" width="18.6640625" customWidth="1"/>
    <col min="41" max="41" width="87.33203125" customWidth="1"/>
  </cols>
  <sheetData>
    <row r="1" spans="1:36" ht="16" x14ac:dyDescent="0.2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98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2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82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">
      <c r="A3" s="3" t="s">
        <v>53</v>
      </c>
      <c r="B3" s="3" t="s">
        <v>42</v>
      </c>
      <c r="C3" s="3" t="s">
        <v>96</v>
      </c>
      <c r="D3" s="3"/>
      <c r="E3" s="3" t="s">
        <v>97</v>
      </c>
      <c r="F3" s="3" t="s">
        <v>70</v>
      </c>
      <c r="G3" s="3" t="s">
        <v>105</v>
      </c>
      <c r="H3" s="3" t="s">
        <v>76</v>
      </c>
      <c r="I3" s="3" t="s">
        <v>47</v>
      </c>
      <c r="J3" s="3" t="s">
        <v>94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712020:e4e815aa-df03-418a-9760-3e70901b6ec5</v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  <row r="4" spans="1:36" x14ac:dyDescent="0.2">
      <c r="A4" s="13"/>
      <c r="B4" s="13"/>
      <c r="C4" s="13" t="s">
        <v>109</v>
      </c>
      <c r="D4" s="13"/>
      <c r="E4" s="13"/>
      <c r="F4" s="14" t="str">
        <f>Config!$G$4</f>
        <v>JITTP Version 1</v>
      </c>
      <c r="G4" s="3"/>
      <c r="H4" s="3"/>
      <c r="I4" s="3"/>
      <c r="J4" s="3"/>
      <c r="K4" s="3"/>
      <c r="L4" s="15"/>
      <c r="M4" s="3"/>
      <c r="N4" s="15" t="str">
        <f>IF(JiraDataset[[#This Row],[IssueType]]="Epic",JiraDataset[[#This Row],[Summary]],"")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15" t="str">
        <f>IF(JiraDataset[[#This Row],[RowType]]=cfg_type_skip,"",IFERROR(VLOOKUP(JiraDataset[[#This Row],[Sprint Name]], Config!$D$4:$E$9, 2, FALSE), ""))</f>
        <v/>
      </c>
      <c r="AD4" s="15" t="str">
        <f>IF(JiraDataset[[#This Row],[RowType]]=cfg_type_skip,"",_xlfn.XLOOKUP("Creation Marker", CfgAutofieldValues[Name], CfgAutofieldValues[Value]))</f>
        <v>imported</v>
      </c>
      <c r="AE4" s="8" t="str">
        <f>IF(JiraDataset[[#This Row],[RowType]]=cfg_type_skip,"",_xlfn.XLOOKUP("Feature Pod Label", CfgAutofieldValues[Name], CfgAutofieldValues[Value]))</f>
        <v>pod_test</v>
      </c>
      <c r="AF4" s="15" t="str">
        <f>IF(JiraDataset[[#This Row],[RowType]]=cfg_type_skip,"",IFERROR(VLOOKUP(JiraDataset[[#This Row],[Assignee.Name]], Config!$A$4:$B$24, 2, FALSE), ""))</f>
        <v/>
      </c>
      <c r="AG4" s="15" t="str">
        <f>IF(JiraDataset[[#This Row],[RowType]]=cfg_type_skip,"",_xlfn.XLOOKUP("Project Key", CfgAutofieldValues[Name], CfgAutofieldValues[Value]))</f>
        <v>JITTP2</v>
      </c>
      <c r="AH4" s="15" t="str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4" s="15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/>
    </row>
    <row r="5" spans="1:36" x14ac:dyDescent="0.2">
      <c r="A5" s="13"/>
      <c r="B5" s="13"/>
      <c r="C5" s="13"/>
      <c r="D5" s="13"/>
      <c r="E5" s="13"/>
      <c r="F5" s="14" t="str">
        <f>Config!$G$4</f>
        <v>JITTP Version 1</v>
      </c>
      <c r="G5" s="3"/>
      <c r="H5" s="3"/>
      <c r="I5" s="3"/>
      <c r="J5" s="3"/>
      <c r="K5" s="3" t="s">
        <v>110</v>
      </c>
      <c r="L5" s="15"/>
      <c r="M5" s="3"/>
      <c r="N5" s="15" t="str">
        <f>IF(JiraDataset[[#This Row],[IssueType]]="Epic",JiraDataset[[#This Row],[Summary]],"")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15" t="str">
        <f>IF(JiraDataset[[#This Row],[RowType]]=cfg_type_skip,"",IFERROR(VLOOKUP(JiraDataset[[#This Row],[Sprint Name]], Config!$D$4:$E$9, 2, FALSE), ""))</f>
        <v/>
      </c>
      <c r="AD5" s="15" t="str">
        <f>IF(JiraDataset[[#This Row],[RowType]]=cfg_type_skip,"",_xlfn.XLOOKUP("Creation Marker", CfgAutofieldValues[Name], CfgAutofieldValues[Value]))</f>
        <v>imported</v>
      </c>
      <c r="AE5" s="8" t="str">
        <f>IF(JiraDataset[[#This Row],[RowType]]=cfg_type_skip,"",_xlfn.XLOOKUP("Feature Pod Label", CfgAutofieldValues[Name], CfgAutofieldValues[Value]))</f>
        <v>pod_test</v>
      </c>
      <c r="AF5" s="15" t="str">
        <f>IF(JiraDataset[[#This Row],[RowType]]=cfg_type_skip,"",IFERROR(VLOOKUP(JiraDataset[[#This Row],[Assignee.Name]], Config!$A$4:$B$24, 2, FALSE), ""))</f>
        <v/>
      </c>
      <c r="AG5" s="15" t="str">
        <f>IF(JiraDataset[[#This Row],[RowType]]=cfg_type_skip,"",_xlfn.XLOOKUP("Project Key", CfgAutofieldValues[Name], CfgAutofieldValues[Value]))</f>
        <v>JITTP2</v>
      </c>
      <c r="AH5" s="15" t="str" cm="1">
        <f t="array" ref="AH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5" s="15" t="str" cm="1">
        <f t="array" ref="AI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5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5 C2:C5">
    <cfRule type="containsText" dxfId="47" priority="429" operator="containsText" text="blocker">
      <formula>NOT(ISERROR(SEARCH("blocker",A2)))</formula>
    </cfRule>
    <cfRule type="containsText" dxfId="46" priority="430" operator="containsText" text="critical">
      <formula>NOT(ISERROR(SEARCH("critical",A2)))</formula>
    </cfRule>
    <cfRule type="containsText" dxfId="45" priority="431" operator="containsText" text="High">
      <formula>NOT(ISERROR(SEARCH("High",A2)))</formula>
    </cfRule>
    <cfRule type="containsText" dxfId="44" priority="432" operator="containsText" text="Medium">
      <formula>NOT(ISERROR(SEARCH("Medium",A2)))</formula>
    </cfRule>
  </conditionalFormatting>
  <conditionalFormatting sqref="A2:A5">
    <cfRule type="containsBlanks" dxfId="43" priority="493">
      <formula>LEN(TRIM(A2))=0</formula>
    </cfRule>
  </conditionalFormatting>
  <conditionalFormatting sqref="A2:AJ5">
    <cfRule type="expression" dxfId="42" priority="409" stopIfTrue="1">
      <formula>$B2=cfg_type_comment</formula>
    </cfRule>
    <cfRule type="expression" dxfId="41" priority="410">
      <formula>$B2=cfg_type_skip</formula>
    </cfRule>
    <cfRule type="expression" dxfId="40" priority="411">
      <formula>$B2=cfg_type_note</formula>
    </cfRule>
  </conditionalFormatting>
  <conditionalFormatting sqref="B2:B5">
    <cfRule type="containsText" dxfId="39" priority="413" operator="containsText" text="epic">
      <formula>NOT(ISERROR(SEARCH("epic",B2)))</formula>
    </cfRule>
    <cfRule type="containsText" dxfId="38" priority="427" operator="containsText" text="story">
      <formula>NOT(ISERROR(SEARCH("story",B2)))</formula>
    </cfRule>
    <cfRule type="containsText" dxfId="37" priority="433" operator="containsText" text="task">
      <formula>NOT(ISERROR(SEARCH("task",B2)))</formula>
    </cfRule>
    <cfRule type="containsBlanks" dxfId="36" priority="492">
      <formula>LEN(TRIM(B2))=0</formula>
    </cfRule>
  </conditionalFormatting>
  <conditionalFormatting sqref="B2:AJ5">
    <cfRule type="expression" dxfId="35" priority="1">
      <formula>$B2="Epic"</formula>
    </cfRule>
    <cfRule type="expression" dxfId="34" priority="2">
      <formula>$B2="Story"</formula>
    </cfRule>
  </conditionalFormatting>
  <conditionalFormatting sqref="C2:C5">
    <cfRule type="containsBlanks" dxfId="33" priority="494">
      <formula>LEN(TRIM(C2))=0</formula>
    </cfRule>
  </conditionalFormatting>
  <conditionalFormatting sqref="K2:L5">
    <cfRule type="containsBlanks" dxfId="32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5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5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5" xr:uid="{2DA3EDB6-7635-4349-8860-B614B5B71275}"/>
    <dataValidation allowBlank="1" showInputMessage="1" showErrorMessage="1" promptTitle="Permissions" prompt="Updating Existing Issues requires global admin permissions" sqref="D2:D5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5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5 AF1:AH5" xr:uid="{893DA5FE-9FD0-4D28-BBD0-3D7AEDECEACB}"/>
    <dataValidation type="list" allowBlank="1" showInputMessage="1" showErrorMessage="1" error="must be a valid component" sqref="H2:H5" xr:uid="{65EDED96-6789-400B-B504-6BC3F5A79E70}">
      <formula1>INDIRECT("CfgComponents[Component.Name]")</formula1>
    </dataValidation>
    <dataValidation type="list" errorStyle="warning" showErrorMessage="1" error="must be a valid fixversion" sqref="G2:G5" xr:uid="{44FDC20A-8BF5-49B5-9D2C-3A1FE5A7D835}">
      <formula1>INDIRECT("CfgAssignees[Asssignee.Name]")</formula1>
    </dataValidation>
    <dataValidation type="list" allowBlank="1" showInputMessage="1" showErrorMessage="1" error="must be a valid component" sqref="I2:I5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5" xr:uid="{412C516D-E091-4DDD-9C14-C33AC653C143}"/>
    <dataValidation allowBlank="1" showInputMessage="1" showErrorMessage="1" error="must be a valid fixversion" promptTitle="Feature Pod Label (Config Sheet)" prompt="Do not manually edit these!" sqref="AE1:AE5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5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A2:A5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B2:B5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" customWidth="1"/>
    <col min="8" max="8" width="4.33203125" customWidth="1"/>
    <col min="9" max="9" width="19.1640625" customWidth="1"/>
    <col min="10" max="10" width="4.33203125" customWidth="1"/>
    <col min="11" max="11" width="18.5" customWidth="1"/>
    <col min="12" max="12" width="4.33203125" customWidth="1"/>
    <col min="13" max="13" width="17.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2" x14ac:dyDescent="0.3">
      <c r="A1" s="11" t="s">
        <v>80</v>
      </c>
      <c r="B1" s="11"/>
      <c r="D1" s="11" t="s">
        <v>81</v>
      </c>
      <c r="E1" s="11"/>
      <c r="G1" s="6" t="s">
        <v>63</v>
      </c>
      <c r="I1" s="6" t="s">
        <v>62</v>
      </c>
      <c r="K1" s="6" t="s">
        <v>58</v>
      </c>
      <c r="M1" s="6" t="s">
        <v>78</v>
      </c>
      <c r="O1" s="6" t="s">
        <v>59</v>
      </c>
      <c r="Q1" s="11" t="s">
        <v>104</v>
      </c>
      <c r="R1" s="11"/>
      <c r="S1" s="11"/>
      <c r="U1" s="6" t="s">
        <v>83</v>
      </c>
    </row>
    <row r="2" spans="1:22" x14ac:dyDescent="0.2">
      <c r="A2" s="12" t="s">
        <v>86</v>
      </c>
      <c r="B2" s="12"/>
      <c r="C2" s="7"/>
      <c r="D2" s="12" t="s">
        <v>87</v>
      </c>
      <c r="E2" s="12"/>
      <c r="F2" s="7"/>
      <c r="G2" s="10" t="s">
        <v>88</v>
      </c>
      <c r="H2" s="10"/>
      <c r="I2" s="10" t="s">
        <v>89</v>
      </c>
      <c r="J2" s="10"/>
      <c r="K2" s="12" t="s">
        <v>90</v>
      </c>
      <c r="L2" s="12"/>
      <c r="M2" s="9" t="s">
        <v>91</v>
      </c>
      <c r="N2" s="9"/>
      <c r="O2" s="10" t="s">
        <v>92</v>
      </c>
      <c r="P2" s="10"/>
      <c r="Q2" s="12"/>
      <c r="R2" s="12"/>
      <c r="S2" s="9"/>
      <c r="T2" s="7"/>
      <c r="U2" s="9" t="s">
        <v>93</v>
      </c>
      <c r="V2" s="9"/>
    </row>
    <row r="3" spans="1:22" x14ac:dyDescent="0.2">
      <c r="A3" t="s">
        <v>64</v>
      </c>
      <c r="B3" t="s">
        <v>65</v>
      </c>
      <c r="D3" t="s">
        <v>66</v>
      </c>
      <c r="E3" t="s">
        <v>67</v>
      </c>
      <c r="G3" t="s">
        <v>74</v>
      </c>
      <c r="I3" t="s">
        <v>73</v>
      </c>
      <c r="K3" t="s">
        <v>72</v>
      </c>
      <c r="M3" t="s">
        <v>79</v>
      </c>
      <c r="O3" t="s">
        <v>71</v>
      </c>
      <c r="Q3" t="s">
        <v>60</v>
      </c>
      <c r="R3" t="s">
        <v>61</v>
      </c>
      <c r="S3" t="s">
        <v>77</v>
      </c>
      <c r="U3" s="5" t="s">
        <v>72</v>
      </c>
    </row>
    <row r="4" spans="1:22" x14ac:dyDescent="0.2">
      <c r="A4" t="s">
        <v>105</v>
      </c>
      <c r="B4" t="s">
        <v>50</v>
      </c>
      <c r="D4" t="s">
        <v>47</v>
      </c>
      <c r="E4">
        <v>1</v>
      </c>
      <c r="G4" t="s">
        <v>68</v>
      </c>
      <c r="I4" t="s">
        <v>75</v>
      </c>
      <c r="K4" t="s">
        <v>39</v>
      </c>
      <c r="M4" t="s">
        <v>34</v>
      </c>
      <c r="O4" s="1" t="s">
        <v>38</v>
      </c>
      <c r="Q4" t="s">
        <v>31</v>
      </c>
      <c r="R4" t="s">
        <v>95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2">
      <c r="A5" t="s">
        <v>106</v>
      </c>
      <c r="B5" t="s">
        <v>51</v>
      </c>
      <c r="D5" t="s">
        <v>48</v>
      </c>
      <c r="E5">
        <v>2</v>
      </c>
      <c r="G5" t="s">
        <v>69</v>
      </c>
      <c r="I5" t="s">
        <v>76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84</v>
      </c>
      <c r="U5" t="str">
        <f ca="1"/>
        <v>Task</v>
      </c>
    </row>
    <row r="6" spans="1:22" x14ac:dyDescent="0.2">
      <c r="A6" t="s">
        <v>107</v>
      </c>
      <c r="B6" t="s">
        <v>52</v>
      </c>
      <c r="G6" t="s">
        <v>70</v>
      </c>
      <c r="I6" t="s">
        <v>99</v>
      </c>
      <c r="K6" t="s">
        <v>41</v>
      </c>
      <c r="M6" t="s">
        <v>33</v>
      </c>
      <c r="O6" s="1" t="s">
        <v>54</v>
      </c>
      <c r="Q6" t="s">
        <v>49</v>
      </c>
      <c r="R6" t="s">
        <v>108</v>
      </c>
      <c r="S6" s="7" t="s">
        <v>85</v>
      </c>
      <c r="U6" t="str">
        <f ca="1"/>
        <v>Bug</v>
      </c>
    </row>
    <row r="7" spans="1:22" x14ac:dyDescent="0.2">
      <c r="D7" s="2"/>
      <c r="E7" s="2"/>
      <c r="I7" t="s">
        <v>100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2">
      <c r="D8" s="2"/>
      <c r="E8" s="2"/>
      <c r="I8" t="s">
        <v>101</v>
      </c>
      <c r="O8" s="1" t="s">
        <v>55</v>
      </c>
      <c r="U8" t="str">
        <f ca="1"/>
        <v>Comment</v>
      </c>
    </row>
    <row r="9" spans="1:22" x14ac:dyDescent="0.2">
      <c r="D9" s="2"/>
      <c r="E9" s="2"/>
      <c r="I9" t="s">
        <v>102</v>
      </c>
      <c r="O9" s="1" t="s">
        <v>56</v>
      </c>
      <c r="U9" t="str">
        <f ca="1"/>
        <v>Skip</v>
      </c>
    </row>
    <row r="10" spans="1:22" x14ac:dyDescent="0.2">
      <c r="D10" s="2"/>
      <c r="E10" s="2"/>
      <c r="I10" t="s">
        <v>103</v>
      </c>
      <c r="U10" t="str">
        <f ca="1"/>
        <v>Note</v>
      </c>
    </row>
    <row r="11" spans="1:22" x14ac:dyDescent="0.2">
      <c r="D11" s="2"/>
      <c r="E11" s="2"/>
      <c r="U11" t="str">
        <f ca="1"/>
        <v>WorkItem</v>
      </c>
    </row>
    <row r="12" spans="1:22" x14ac:dyDescent="0.2">
      <c r="D12" s="2"/>
      <c r="E12" s="2"/>
    </row>
    <row r="13" spans="1:22" x14ac:dyDescent="0.2">
      <c r="D13" s="2"/>
      <c r="E13" s="2"/>
    </row>
    <row r="14" spans="1:22" x14ac:dyDescent="0.2">
      <c r="D14" s="2"/>
      <c r="E14" s="2"/>
    </row>
    <row r="15" spans="1:22" x14ac:dyDescent="0.2">
      <c r="D15" s="2"/>
      <c r="E15" s="2"/>
    </row>
    <row r="16" spans="1:22" x14ac:dyDescent="0.2">
      <c r="D16" s="2"/>
      <c r="E16" s="2"/>
    </row>
    <row r="17" spans="4:5" x14ac:dyDescent="0.2">
      <c r="D17" s="2"/>
      <c r="E17" s="2"/>
    </row>
    <row r="18" spans="4:5" x14ac:dyDescent="0.2">
      <c r="D18" s="2"/>
      <c r="E18" s="2"/>
    </row>
    <row r="19" spans="4:5" x14ac:dyDescent="0.2">
      <c r="D19" s="2"/>
      <c r="E19" s="2"/>
    </row>
    <row r="20" spans="4:5" x14ac:dyDescent="0.2">
      <c r="D20" s="2"/>
      <c r="E20" s="2"/>
    </row>
    <row r="21" spans="4:5" x14ac:dyDescent="0.2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2025-08-28T22:47:46Z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