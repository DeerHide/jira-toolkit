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workdir\temp\"/>
    </mc:Choice>
  </mc:AlternateContent>
  <xr:revisionPtr revIDLastSave="0" documentId="13_ncr:1_{77E3885F-31A5-4652-AED3-4A4A21786D96}" xr6:coauthVersionLast="47" xr6:coauthVersionMax="47" xr10:uidLastSave="{00000000-0000-0000-0000-000000000000}"/>
  <bookViews>
    <workbookView xWindow="252" yWindow="6408" windowWidth="30696" windowHeight="12420" xr2:uid="{1FA076D1-0294-4A97-AB8C-3ADE2BC9CEA1}"/>
  </bookViews>
  <sheets>
    <sheet name="Dataset" sheetId="1" r:id="rId1"/>
    <sheet name="Config" sheetId="2" r:id="rId2"/>
  </sheets>
  <definedNames>
    <definedName name="cfg_labels_ft_label">Config!$R$6</definedName>
    <definedName name="cfg_labels_ft_name">Config!$R$6</definedName>
    <definedName name="cfg_labels_imported">Config!$R$5</definedName>
    <definedName name="cfg_projectKey">Config!$R$4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/>
  <c r="AI4" i="1" a="1"/>
  <c r="AI4" i="1" s="1"/>
  <c r="N3" i="1"/>
  <c r="AI3" i="1" a="1"/>
  <c r="AI3" i="1" s="1"/>
  <c r="AE3" i="1" s="1"/>
  <c r="AI2" i="1" a="1"/>
  <c r="AI2" i="1" s="1"/>
  <c r="AC2" i="1" s="1"/>
  <c r="N2" i="1"/>
  <c r="U4" i="2" a="1"/>
  <c r="AF4" i="1" l="1"/>
  <c r="AC4" i="1"/>
  <c r="AG4" i="1"/>
  <c r="AD4" i="1"/>
  <c r="AH4" i="1" a="1"/>
  <c r="AH4" i="1" s="1"/>
  <c r="AE4" i="1"/>
  <c r="AG3" i="1"/>
  <c r="AG2" i="1"/>
  <c r="AD3" i="1"/>
  <c r="AD2" i="1"/>
  <c r="AE2" i="1"/>
  <c r="U4" i="2"/>
  <c r="AF3" i="1"/>
  <c r="AH3" i="1" a="1"/>
  <c r="AH3" i="1" s="1"/>
  <c r="AC3" i="1"/>
  <c r="AF2" i="1"/>
  <c r="AH2" i="1" a="1"/>
  <c r="AH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<sst xmlns="http://schemas.openxmlformats.org/spreadsheetml/2006/main" count="118" uniqueCount="111">
  <si>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</si>
  <si>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</si>
  <si>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</si>
  <si>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</si>
  <si>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</si>
  <si>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</si>
  <si>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</si>
  <si>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</si>
  <si>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</si>
  <si>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</si>
  <si>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</si>
  <si>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</si>
  <si>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</si>
  <si>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</si>
  <si>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</si>
  <si>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</si>
  <si>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</si>
  <si>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</si>
  <si>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</si>
  <si>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</si>
  <si>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</si>
  <si>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</si>
  <si>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</si>
  <si>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</si>
  <si>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</si>
  <si>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</si>
  <si>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</si>
  <si>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</si>
  <si>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</si>
  <si>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</si>
  <si>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</si>
  <si>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</si>
  <si>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</si>
  <si>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</si>
  <si>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</si>
  <si>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</si>
  <si>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</si>
  <si>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</si>
  <si>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</si>
  <si>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</si>
  <si>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imported</t>
  </si>
  <si>
    <t>Bug</t>
  </si>
  <si>
    <t>Epic</t>
  </si>
  <si>
    <t>Low</t>
  </si>
  <si>
    <t>RowType</t>
  </si>
  <si>
    <t>Skip</t>
  </si>
  <si>
    <t>WorkItem</t>
  </si>
  <si>
    <t>Sprint 1</t>
  </si>
  <si>
    <t>Sprint 2</t>
  </si>
  <si>
    <t>Feature Pod Label</t>
  </si>
  <si>
    <t>712020:e4e815aa-df03-418a-9760-3e70901b6ec5</t>
  </si>
  <si>
    <t>712020:69ead6b8-698d-48a8-8abb-b55246f6cb7c</t>
  </si>
  <si>
    <t>712020:63630dfe-2a04-4021-9f7b-53445ba456e7</t>
  </si>
  <si>
    <t>Highest</t>
  </si>
  <si>
    <t>Hight</t>
  </si>
  <si>
    <t>Lowest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</si>
  <si>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</si>
  <si>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</si>
  <si>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</si>
  <si>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</si>
  <si>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</si>
  <si>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</si>
  <si>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</si>
  <si>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</si>
  <si>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Asssignee.Name</t>
  </si>
  <si>
    <t>Assignee.ID</t>
  </si>
  <si>
    <t>Sprint.Name</t>
  </si>
  <si>
    <t>Sprint.ID</t>
  </si>
  <si>
    <t>JITTP Version 1</t>
  </si>
  <si>
    <t>JITTP Version 2</t>
  </si>
  <si>
    <t>JITTP Version 3</t>
  </si>
  <si>
    <t>Priority.Name</t>
  </si>
  <si>
    <t>IssueType.Name</t>
  </si>
  <si>
    <t>Component.Name</t>
  </si>
  <si>
    <t>FixVersion.Name</t>
  </si>
  <si>
    <t>SysOps</t>
  </si>
  <si>
    <t>DevOps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</si>
  <si>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</si>
  <si>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</si>
  <si>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</si>
  <si>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</si>
  <si>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</si>
  <si>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</si>
  <si>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</si>
  <si>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</si>
  <si>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</si>
  <si>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</si>
  <si>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</si>
  <si>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</si>
  <si>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</si>
  <si>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</si>
  <si>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</si>
  <si>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</si>
  <si>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</si>
  <si>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1w</t>
  </si>
  <si>
    <t>JITTP2</t>
  </si>
  <si>
    <t>Test, Epic</t>
  </si>
  <si>
    <t>This is a test work item</t>
  </si>
  <si>
    <t>Parent</t>
  </si>
  <si>
    <t>Design</t>
  </si>
  <si>
    <t>Development</t>
  </si>
  <si>
    <t>Production</t>
  </si>
  <si>
    <t>Quality Assurance</t>
  </si>
  <si>
    <t>Quality Control</t>
  </si>
  <si>
    <t>Misc Fields</t>
  </si>
  <si>
    <t>tom4897</t>
  </si>
  <si>
    <t>Nakool</t>
  </si>
  <si>
    <t>MirageCentury</t>
  </si>
  <si>
    <t>pod_test</t>
  </si>
  <si>
    <t>High</t>
  </si>
  <si>
    <t>Test, Task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</si>
</sst>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  <xf numFmtId="0" fontId="0" fillId="0" borderId="0" xfId="0" applyFont="1" applyAlignment="1">
      <alignment vertical="top"/>
    </xf>
    <xf numFmtId="0" fontId="0" fillId="0" borderId="0" xfId="0" applyNumberFormat="1" applyFont="1" applyAlignment="1">
      <alignment vertical="top"/>
    </xf>
    <xf numFmtId="0" fontId="0" fillId="0" borderId="0" xfId="0" applyNumberFormat="1" applyAlignment="1">
      <alignment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2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horizontal="general" vertical="bottom" textRotation="0" wrapText="0" indent="0" justifyLastLine="0" shrinkToFit="1" readingOrder="0"/>
    </dxf>
    <dxf>
      <numFmt numFmtId="30" formatCode="@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4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4" totalsRowShown="0" headerRowDxfId="69" dataDxfId="68">
  <autoFilter ref="A1:AJ4" xr:uid="{933FCFD5-1AB1-4076-B5DD-E2B69F5EB3F2}"/>
  <tableColumns count="36">
    <tableColumn id="3" xr3:uid="{AF2EC907-349C-4651-852D-6E39C61E17FF}" name="Priority" dataDxfId="67"/>
    <tableColumn id="2" xr3:uid="{E90C51F2-4386-421F-A3E4-E2CA9D43D396}" name="IssueType" dataDxfId="66"/>
    <tableColumn id="1" xr3:uid="{BBAD373B-BA13-47E4-9F74-565F4D9E9680}" name="Summary" dataDxfId="65"/>
    <tableColumn id="4" xr3:uid="{026E5B97-FAFC-4E46-860E-0B0C976B1148}" name="Issue Key" dataDxfId="64"/>
    <tableColumn id="5" xr3:uid="{A2C262E8-D544-4669-99F1-151EDE081654}" name="Description" dataDxfId="63"/>
    <tableColumn id="7" xr3:uid="{0FAD1ACC-432E-462C-8B89-71540710BCB5}" name="FixVersion" dataDxfId="62"/>
    <tableColumn id="28" xr3:uid="{07F3030C-7187-4B16-BBDB-798304851975}" name="Assignee.Name" dataDxfId="61"/>
    <tableColumn id="8" xr3:uid="{8C7FB8DB-A85B-4189-93D8-0F0D4EEEF81B}" name="Component" dataDxfId="60"/>
    <tableColumn id="9" xr3:uid="{DC5101A8-1204-44D2-BC2C-FEE1A4EFE7C1}" name="Sprint Name" dataDxfId="59"/>
    <tableColumn id="40" xr3:uid="{1F406792-7ED2-4476-8FF4-4C6ABA231C97}" name="Estimate" dataDxfId="58"/>
    <tableColumn id="10" xr3:uid="{70B7C471-B624-430B-8992-4711F27BB17E}" name="Issue ID" dataDxfId="57"/>
    <tableColumn id="30" xr3:uid="{938D6CA2-8309-4146-9B62-E8CDFAB7B1C9}" name="Parent" dataDxfId="56"/>
    <tableColumn id="11" xr3:uid="{594BD56F-7D1D-408F-BEDC-6BB9854C71A1}" name="Epic Link" dataDxfId="55"/>
    <tableColumn id="33" xr3:uid="{3A94D4B2-1A5B-4BBF-B398-E56D2BB7F948}" name="Epic Name" dataDxfId="54">
      <calculatedColumnFormula>IF(JiraDataset[[#This Row],[IssueType]]="Epic",JiraDataset[[#This Row],[Summary]],"")</calculatedColumnFormula>
    </tableColumn>
    <tableColumn id="27" xr3:uid="{911C8FDC-5528-43FC-BDF4-D4761F03C0E5}" name="Child-Issue" dataDxfId="53"/>
    <tableColumn id="41" xr3:uid="{AB248E07-9BFA-42CC-BC41-B4234F677BFB}" name="Child-Issue1" dataDxfId="52"/>
    <tableColumn id="29" xr3:uid="{89D12135-F3E3-4253-844F-1B9A54169953}" name="Child-Issue2" dataDxfId="51"/>
    <tableColumn id="12" xr3:uid="{0699B70E-673B-4238-8A66-12FC943A4812}" name="Labels" dataDxfId="50"/>
    <tableColumn id="13" xr3:uid="{9840B81F-2CA6-4708-8C93-3E7C8F72A676}" name="Labels1" dataDxfId="49"/>
    <tableColumn id="14" xr3:uid="{D4A99C0B-46B7-484A-842E-D62E9D5D9341}" name="Labels2" dataDxfId="48"/>
    <tableColumn id="15" xr3:uid="{1D1C275E-5C65-4393-9663-6C5F617591E1}" name="Labels3" dataDxfId="47"/>
    <tableColumn id="16" xr3:uid="{D823FA91-7106-42D3-9DBC-B337C509EB09}" name="Labels4" dataDxfId="46"/>
    <tableColumn id="17" xr3:uid="{05A07F85-1763-4A66-9CBB-4A760BD03D27}" name="Labels5" dataDxfId="45"/>
    <tableColumn id="18" xr3:uid="{16B98070-7F8A-4FC7-AD99-EA81D0BD26AB}" name="Labels6" dataDxfId="44"/>
    <tableColumn id="19" xr3:uid="{016EAEF4-8EA9-408B-9F1A-ECFB17E81C77}" name="Labels7" dataDxfId="43"/>
    <tableColumn id="26" xr3:uid="{8263F9EC-BF0A-46F7-BA83-6083A4262B91}" name="Labels8" dataDxfId="42"/>
    <tableColumn id="20" xr3:uid="{389B11C5-1B22-48C0-BCA2-72F050425FA1}" name="Labels9" dataDxfId="41"/>
    <tableColumn id="25" xr3:uid="{AE95F8A2-F7F0-4985-9AE6-4201B9792775}" name="Labels10" dataDxfId="40"/>
    <tableColumn id="21" xr3:uid="{105F2D0F-70C1-4517-A55F-4C1DDFE85301}" name="Sprint" dataDxfId="39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38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37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36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35">
      <calculatedColumnFormula>IF(JiraDataset[[#This Row],[RowType]]=cfg_type_skip,"",_xlfn.XLOOKUP("Project Key", CfgAutofieldValues[Name], CfgAutofieldValues[Value]))</calculatedColumnFormula>
    </tableColumn>
    <tableColumn id="42" xr3:uid="{82B78F0D-CAEF-4615-B12A-B15ACF33913C}" name="OrigEst" dataDxfId="34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33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32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11" totalsRowShown="0">
  <autoFilter ref="I3:I11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7" totalsRowShown="0">
  <autoFilter ref="G3:G7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7" totalsRowShown="0">
  <autoFilter ref="K3:K7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71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7" totalsRowShown="0">
  <autoFilter ref="A3:B7" xr:uid="{1EF5833D-4918-4C71-A990-1B275126361D}"/>
  <tableColumns count="2">
    <tableColumn id="1" xr3:uid="{7F7B4E10-E51C-443F-875D-3E6A9FD9994C}" name="As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6" totalsRowShown="0">
  <autoFilter ref="D3:E6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6" totalsRowShown="0">
  <autoFilter ref="Q3:S6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70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K4"/>
  <sheetViews>
    <sheetView showGridLines="0" tabSelected="1" workbookViewId="0">
      <selection activeCell="AH4" sqref="AH4"/>
    </sheetView>
  </sheetViews>
  <sheetFormatPr defaultRowHeight="14.4" outlineLevelCol="1" x14ac:dyDescent="0.3"/>
  <cols>
    <col min="1" max="2" width="12.44140625" bestFit="1" customWidth="1"/>
    <col min="3" max="3" width="31.6640625" customWidth="1"/>
    <col min="4" max="4" width="11.88671875" hidden="1" customWidth="1"/>
    <col min="5" max="5" width="33" bestFit="1" customWidth="1"/>
    <col min="6" max="6" width="15.5546875" customWidth="1"/>
    <col min="7" max="7" width="17.44140625" bestFit="1" customWidth="1"/>
    <col min="8" max="8" width="22.5546875" customWidth="1"/>
    <col min="9" max="9" width="14" bestFit="1" customWidth="1"/>
    <col min="10" max="11" width="14.44140625" bestFit="1" customWidth="1"/>
    <col min="12" max="12" width="14.33203125" customWidth="1"/>
    <col min="13" max="13" width="14.44140625" customWidth="1"/>
    <col min="14" max="14" width="14.33203125" customWidth="1"/>
    <col min="15" max="15" width="0" hidden="1" customWidth="1"/>
    <col min="16" max="16" width="22.33203125" hidden="1" customWidth="1"/>
    <col min="17" max="17" width="12.88671875" hidden="1" customWidth="1"/>
    <col min="18" max="18" width="12.44140625" customWidth="1"/>
    <col min="19" max="19" width="15.5546875" customWidth="1"/>
    <col min="20" max="20" width="12.88671875" customWidth="1"/>
    <col min="21" max="21" width="10" customWidth="1"/>
    <col min="22" max="22" width="10" bestFit="1" customWidth="1"/>
    <col min="23" max="23" width="10" customWidth="1"/>
    <col min="24" max="24" width="10.109375" bestFit="1" customWidth="1"/>
    <col min="25" max="30" width="10" customWidth="1" outlineLevel="1"/>
    <col min="31" max="31" width="10" customWidth="1"/>
    <col min="32" max="32" width="8.6640625" customWidth="1" outlineLevel="1"/>
    <col min="33" max="34" width="13.109375" customWidth="1" outlineLevel="1"/>
    <col min="35" max="35" width="11.44140625" customWidth="1" outlineLevel="1"/>
    <col min="36" max="37" width="13.6640625" customWidth="1" outlineLevel="1"/>
    <col min="38" max="38" width="36.5546875" bestFit="1" customWidth="1"/>
    <col min="40" max="40" width="18.6640625" customWidth="1"/>
    <col min="41" max="41" width="87.33203125" customWidth="1"/>
  </cols>
  <sheetData>
    <row r="1" spans="1:36" x14ac:dyDescent="0.3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98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44</v>
      </c>
      <c r="AJ1" s="3" t="s">
        <v>33</v>
      </c>
    </row>
    <row r="2" spans="1:36" x14ac:dyDescent="0.3">
      <c r="A2" s="3"/>
      <c r="B2" s="3" t="s">
        <v>33</v>
      </c>
      <c r="C2" s="3" t="s">
        <v>35</v>
      </c>
      <c r="D2" s="3"/>
      <c r="E2" s="3" t="s">
        <v>36</v>
      </c>
      <c r="F2" s="3"/>
      <c r="G2" s="3"/>
      <c r="H2" s="3"/>
      <c r="I2" s="3"/>
      <c r="J2" s="3" t="s">
        <v>82</v>
      </c>
      <c r="K2" s="3"/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Config!$D$4:$E$9, 2, FALSE), ""))</f>
        <v/>
      </c>
      <c r="AD2" s="3" t="str">
        <f>IF(JiraDataset[[#This Row],[RowType]]=cfg_type_skip,"",_xlfn.XLOOKUP("Creation Marker", CfgAutofieldValues[Name], CfgAutofieldValues[Value]))</f>
        <v/>
      </c>
      <c r="AE2" s="8" t="str">
        <f>IF(JiraDataset[[#This Row],[RowType]]=cfg_type_skip,"",_xlfn.XLOOKUP("Feature Pod Label", CfgAutofieldValues[Name], CfgAutofieldValues[Value]))</f>
        <v/>
      </c>
      <c r="AF2" s="3" t="str">
        <f>IF(JiraDataset[[#This Row],[RowType]]=cfg_type_skip,"",IFERROR(VLOOKUP(JiraDataset[[#This Row],[Assignee.Name]], Config!$A$4:$B$24, 2, FALSE), ""))</f>
        <v/>
      </c>
      <c r="AG2" s="3" t="str">
        <f>IF(JiraDataset[[#This Row],[RowType]]=cfg_type_skip,"",_xlfn.XLOOKUP("Project Key", CfgAutofieldValues[Name], CfgAutofieldValues[Value]))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3">
      <c r="A3" s="3" t="s">
        <v>53</v>
      </c>
      <c r="B3" s="3" t="s">
        <v>42</v>
      </c>
      <c r="C3" s="3" t="s">
        <v>96</v>
      </c>
      <c r="D3" s="3"/>
      <c r="E3" s="3" t="s">
        <v>97</v>
      </c>
      <c r="F3" s="3"/>
      <c r="G3" s="3"/>
      <c r="H3" s="3"/>
      <c r="I3" s="3"/>
      <c r="J3" s="3" t="s">
        <v>94</v>
      </c>
      <c r="K3" s="3">
        <v>1</v>
      </c>
      <c r="L3" s="3"/>
      <c r="M3" s="3"/>
      <c r="N3" s="3" t="str">
        <f>IF(JiraDataset[[#This Row],[IssueType]]="Epic",JiraDataset[[#This Row],[Summary]],"")</f>
        <v>Test, Epic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 t="str">
        <f>IF(JiraDataset[[#This Row],[RowType]]=cfg_type_skip,"",IFERROR(VLOOKUP(JiraDataset[[#This Row],[Sprint Name]], Config!$D$4:$E$9, 2, FALSE), ""))</f>
        <v/>
      </c>
      <c r="AD3" s="3" t="str">
        <f>IF(JiraDataset[[#This Row],[RowType]]=cfg_type_skip,"",_xlfn.XLOOKUP("Creation Marker", CfgAutofieldValues[Name], CfgAutofieldValues[Value]))</f>
        <v>imported</v>
      </c>
      <c r="AE3" s="8" t="str">
        <f>IF(JiraDataset[[#This Row],[RowType]]=cfg_type_skip,"",_xlfn.XLOOKUP("Feature Pod Label", CfgAutofieldValues[Name], CfgAutofieldValues[Value]))</f>
        <v>pod_test</v>
      </c>
      <c r="AF3" s="3" t="str">
        <f>IF(JiraDataset[[#This Row],[RowType]]=cfg_type_skip,"",IFERROR(VLOOKUP(JiraDataset[[#This Row],[Assignee.Name]], Config!$A$4:$B$24, 2, FALSE), ""))</f>
        <v/>
      </c>
      <c r="AG3" s="3" t="str">
        <f>IF(JiraDataset[[#This Row],[RowType]]=cfg_type_skip,"",_xlfn.XLOOKUP("Project Key", CfgAutofieldValues[Name], CfgAutofieldValues[Value]))</f>
        <v>JITTP2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  <row r="4" spans="1:36" x14ac:dyDescent="0.3">
      <c r="A4" s="13" t="s">
        <v>54</v>
      </c>
      <c r="B4" s="13" t="s">
        <v>37</v>
      </c>
      <c r="C4" s="13" t="s">
        <v>110</v>
      </c>
      <c r="D4" s="13"/>
      <c r="E4" s="13"/>
      <c r="F4" s="14"/>
      <c r="G4" s="3"/>
      <c r="H4" s="3"/>
      <c r="I4" s="3"/>
      <c r="J4" s="3"/>
      <c r="K4" s="3"/>
      <c r="L4" s="15">
        <v>1</v>
      </c>
      <c r="M4" s="3"/>
      <c r="N4" s="15" t="str">
        <f>IF(JiraDataset[[#This Row],[IssueType]]="Epic",JiraDataset[[#This Row],[Summary]],"")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15" t="str">
        <f>IF(JiraDataset[[#This Row],[RowType]]=cfg_type_skip,"",IFERROR(VLOOKUP(JiraDataset[[#This Row],[Sprint Name]], Config!$D$4:$E$9, 2, FALSE), ""))</f>
        <v/>
      </c>
      <c r="AD4" s="15" t="str">
        <f>IF(JiraDataset[[#This Row],[RowType]]=cfg_type_skip,"",_xlfn.XLOOKUP("Creation Marker", CfgAutofieldValues[Name], CfgAutofieldValues[Value]))</f>
        <v>imported</v>
      </c>
      <c r="AE4" s="8" t="str">
        <f>IF(JiraDataset[[#This Row],[RowType]]=cfg_type_skip,"",_xlfn.XLOOKUP("Feature Pod Label", CfgAutofieldValues[Name], CfgAutofieldValues[Value]))</f>
        <v>pod_test</v>
      </c>
      <c r="AF4" s="15" t="str">
        <f>IF(JiraDataset[[#This Row],[RowType]]=cfg_type_skip,"",IFERROR(VLOOKUP(JiraDataset[[#This Row],[Assignee.Name]], Config!$A$4:$B$24, 2, FALSE), ""))</f>
        <v/>
      </c>
      <c r="AG4" s="15" t="str">
        <f>IF(JiraDataset[[#This Row],[RowType]]=cfg_type_skip,"",_xlfn.XLOOKUP("Project Key", CfgAutofieldValues[Name], CfgAutofieldValues[Value]))</f>
        <v>JITTP2</v>
      </c>
      <c r="AH4" s="15" t="str" cm="1">
        <f t="array" ref="AH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4" s="15" t="str" cm="1">
        <f t="array" ref="AI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4" s="3"/>
    </row>
  </sheetData>
  <protectedRanges>
    <protectedRange sqref="A1:A1048576 D4:N1048576 P4:AD1048576 C1:AB3" name="User Input"/>
    <protectedRange algorithmName="SHA-512" hashValue="tpheD+JLADkhiyalt6vInlMwkILPZx4PVQN/k2vmwjOBdYUuHaXCrwtObHeFz5dJh9f853O84pZ1Rn9Ujz33+A==" saltValue="9ir5NB4CJc/69S/Eh84/mA==" spinCount="100000" sqref="AC1:AI3 AE4:AK1048576" name="Computed values"/>
  </protectedRanges>
  <phoneticPr fontId="18" type="noConversion"/>
  <conditionalFormatting sqref="A2:A4 C2:C4">
    <cfRule type="containsText" dxfId="31" priority="429" operator="containsText" text="blocker">
      <formula>NOT(ISERROR(SEARCH("blocker",A2)))</formula>
    </cfRule>
    <cfRule type="containsText" dxfId="30" priority="430" operator="containsText" text="critical">
      <formula>NOT(ISERROR(SEARCH("critical",A2)))</formula>
    </cfRule>
    <cfRule type="containsText" dxfId="29" priority="431" operator="containsText" text="High">
      <formula>NOT(ISERROR(SEARCH("High",A2)))</formula>
    </cfRule>
    <cfRule type="containsText" dxfId="28" priority="432" operator="containsText" text="Medium">
      <formula>NOT(ISERROR(SEARCH("Medium",A2)))</formula>
    </cfRule>
  </conditionalFormatting>
  <conditionalFormatting sqref="A2:A4">
    <cfRule type="containsBlanks" dxfId="27" priority="493">
      <formula>LEN(TRIM(A2))=0</formula>
    </cfRule>
  </conditionalFormatting>
  <conditionalFormatting sqref="A2:AJ4">
    <cfRule type="expression" dxfId="26" priority="409" stopIfTrue="1">
      <formula>$B2=cfg_type_comment</formula>
    </cfRule>
    <cfRule type="expression" dxfId="25" priority="410">
      <formula>$B2=cfg_type_skip</formula>
    </cfRule>
    <cfRule type="expression" dxfId="24" priority="411">
      <formula>$B2=cfg_type_note</formula>
    </cfRule>
  </conditionalFormatting>
  <conditionalFormatting sqref="B2:B4">
    <cfRule type="containsText" dxfId="23" priority="413" operator="containsText" text="epic">
      <formula>NOT(ISERROR(SEARCH("epic",B2)))</formula>
    </cfRule>
    <cfRule type="containsText" dxfId="22" priority="427" operator="containsText" text="story">
      <formula>NOT(ISERROR(SEARCH("story",B2)))</formula>
    </cfRule>
    <cfRule type="containsText" dxfId="21" priority="433" operator="containsText" text="task">
      <formula>NOT(ISERROR(SEARCH("task",B2)))</formula>
    </cfRule>
    <cfRule type="containsBlanks" dxfId="20" priority="492">
      <formula>LEN(TRIM(B2))=0</formula>
    </cfRule>
  </conditionalFormatting>
  <conditionalFormatting sqref="B2:AJ4">
    <cfRule type="expression" dxfId="19" priority="1">
      <formula>$B2="Epic"</formula>
    </cfRule>
    <cfRule type="expression" dxfId="18" priority="2">
      <formula>$B2="Story"</formula>
    </cfRule>
  </conditionalFormatting>
  <conditionalFormatting sqref="C2:C4">
    <cfRule type="containsBlanks" dxfId="17" priority="494">
      <formula>LEN(TRIM(C2))=0</formula>
    </cfRule>
  </conditionalFormatting>
  <conditionalFormatting sqref="K2:L4">
    <cfRule type="containsBlanks" dxfId="16" priority="412">
      <formula>LEN(TRIM(K2))=0</formula>
    </cfRule>
  </conditionalFormatting>
  <dataValidations xWindow="1573" yWindow="665" count="20">
    <dataValidation type="whole" allowBlank="1" showErrorMessage="1" prompt="It must be a number (integer). This reference is only used during the import process." sqref="K2:L3" xr:uid="{005E18F2-4447-4781-8F18-5A58920A4F75}">
      <formula1>1</formula1>
      <formula2>1000</formula2>
    </dataValidation>
    <dataValidation allowBlank="1" showInputMessage="1" showErrorMessage="1" error="must be a valid component" sqref="J2:J4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4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4" xr:uid="{2DA3EDB6-7635-4349-8860-B614B5B71275}"/>
    <dataValidation allowBlank="1" showInputMessage="1" showErrorMessage="1" promptTitle="Permissions" prompt="Updating Existing Issues requires global admin permissions" sqref="D2:D4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4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InputMessage="1" showErrorMessage="1" error="must be a valid fixversion" promptTitle="AUTOMATIC FIELD" prompt="Do not manually edit these!" sqref="AC2:AC4 AF1:AH4" xr:uid="{893DA5FE-9FD0-4D28-BBD0-3D7AEDECEACB}"/>
    <dataValidation type="list" allowBlank="1" showInputMessage="1" showErrorMessage="1" error="must be a valid component" sqref="H2:H4" xr:uid="{65EDED96-6789-400B-B504-6BC3F5A79E70}">
      <formula1>INDIRECT("CfgComponents[Component.Name]")</formula1>
    </dataValidation>
    <dataValidation type="list" errorStyle="warning" showErrorMessage="1" error="must be a valid fixversion" sqref="G2:G4" xr:uid="{44FDC20A-8BF5-49B5-9D2C-3A1FE5A7D835}">
      <formula1>INDIRECT("CfgAssignees[Asssignee.Name]")</formula1>
    </dataValidation>
    <dataValidation type="list" allowBlank="1" showInputMessage="1" showErrorMessage="1" error="must be a valid component" sqref="I2:I4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N2:N3 L2:L3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fixversion" promptTitle="Creation Marker (Config Sheet)" prompt="Do not manually edit these!" sqref="AD1:AD4" xr:uid="{412C516D-E091-4DDD-9C14-C33AC653C143}"/>
    <dataValidation allowBlank="1" showInputMessage="1" showErrorMessage="1" error="must be a valid fixversion" promptTitle="Feature Pod Label (Config Sheet)" prompt="Do not manually edit these!" sqref="AE1:AE4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4" xr:uid="{5A336857-7D14-4900-8734-BED680BE5154}"/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3">
        <x14:dataValidation type="list" allowBlank="1" showInputMessage="1" showErrorMessage="1" xr:uid="{5EEBB8D5-878D-4D0E-9267-0919B5A1B925}">
          <x14:formula1>
            <xm:f>Config!$O$4:$O$10</xm:f>
          </x14:formula1>
          <xm:sqref>A2:A4</xm:sqref>
        </x14:dataValidation>
        <x14:dataValidation type="list" allowBlank="1" showInputMessage="1" showErrorMessage="1" promptTitle="Issue Type" xr:uid="{28BF52BF-C0B0-4D22-B02F-F1408D5A055B}">
          <x14:formula1>
            <xm:f>Config!$U$4:$U$33</xm:f>
          </x14:formula1>
          <xm:sqref>B2:B4</xm:sqref>
        </x14:dataValidation>
        <x14:dataValidation type="list" allowBlank="1" showInputMessage="1" showErrorMessage="1" error="must be a valid fixversion" xr:uid="{7708D6E2-1D6B-41D8-A9EE-0E87219BA8EA}">
          <x14:formula1>
            <xm:f>Config!$G$4:$G$8</xm:f>
          </x14:formula1>
          <xm:sqref>F2:F4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V21"/>
  <sheetViews>
    <sheetView workbookViewId="0">
      <selection activeCell="B8" sqref="B8"/>
    </sheetView>
  </sheetViews>
  <sheetFormatPr defaultRowHeight="14.4" x14ac:dyDescent="0.3"/>
  <cols>
    <col min="1" max="1" width="29.6640625" customWidth="1"/>
    <col min="2" max="2" width="49" bestFit="1" customWidth="1"/>
    <col min="3" max="3" width="4.33203125" customWidth="1"/>
    <col min="4" max="5" width="18.6640625" customWidth="1"/>
    <col min="6" max="6" width="4.33203125" customWidth="1"/>
    <col min="7" max="7" width="18.5546875" customWidth="1"/>
    <col min="8" max="8" width="4.33203125" customWidth="1"/>
    <col min="9" max="9" width="19.109375" customWidth="1"/>
    <col min="10" max="10" width="4.33203125" customWidth="1"/>
    <col min="11" max="11" width="18.5546875" customWidth="1"/>
    <col min="12" max="12" width="4.33203125" customWidth="1"/>
    <col min="13" max="13" width="17.5546875" customWidth="1"/>
    <col min="14" max="14" width="4.33203125" customWidth="1"/>
    <col min="15" max="15" width="18.6640625" customWidth="1"/>
    <col min="16" max="16" width="4.33203125" customWidth="1"/>
    <col min="17" max="18" width="18.6640625" customWidth="1"/>
    <col min="19" max="19" width="35" bestFit="1" customWidth="1"/>
    <col min="21" max="21" width="22.33203125" bestFit="1" customWidth="1"/>
  </cols>
  <sheetData>
    <row r="1" spans="1:22" ht="21" x14ac:dyDescent="0.4">
      <c r="A1" s="11" t="s">
        <v>80</v>
      </c>
      <c r="B1" s="11"/>
      <c r="D1" s="11" t="s">
        <v>81</v>
      </c>
      <c r="E1" s="11"/>
      <c r="G1" s="6" t="s">
        <v>63</v>
      </c>
      <c r="I1" s="6" t="s">
        <v>62</v>
      </c>
      <c r="K1" s="6" t="s">
        <v>58</v>
      </c>
      <c r="M1" s="6" t="s">
        <v>78</v>
      </c>
      <c r="O1" s="6" t="s">
        <v>59</v>
      </c>
      <c r="Q1" s="11" t="s">
        <v>104</v>
      </c>
      <c r="R1" s="11"/>
      <c r="S1" s="11"/>
      <c r="U1" s="6" t="s">
        <v>83</v>
      </c>
    </row>
    <row r="2" spans="1:22" x14ac:dyDescent="0.3">
      <c r="A2" s="12" t="s">
        <v>86</v>
      </c>
      <c r="B2" s="12"/>
      <c r="C2" s="7"/>
      <c r="D2" s="12" t="s">
        <v>87</v>
      </c>
      <c r="E2" s="12"/>
      <c r="F2" s="7"/>
      <c r="G2" s="10" t="s">
        <v>88</v>
      </c>
      <c r="H2" s="10"/>
      <c r="I2" s="10" t="s">
        <v>89</v>
      </c>
      <c r="J2" s="10"/>
      <c r="K2" s="12" t="s">
        <v>90</v>
      </c>
      <c r="L2" s="12"/>
      <c r="M2" s="9" t="s">
        <v>91</v>
      </c>
      <c r="N2" s="9"/>
      <c r="O2" s="10" t="s">
        <v>92</v>
      </c>
      <c r="P2" s="10"/>
      <c r="Q2" s="12"/>
      <c r="R2" s="12"/>
      <c r="S2" s="9"/>
      <c r="T2" s="7"/>
      <c r="U2" s="9" t="s">
        <v>93</v>
      </c>
      <c r="V2" s="9"/>
    </row>
    <row r="3" spans="1:22" x14ac:dyDescent="0.3">
      <c r="A3" t="s">
        <v>64</v>
      </c>
      <c r="B3" t="s">
        <v>65</v>
      </c>
      <c r="D3" t="s">
        <v>66</v>
      </c>
      <c r="E3" t="s">
        <v>67</v>
      </c>
      <c r="G3" t="s">
        <v>74</v>
      </c>
      <c r="I3" t="s">
        <v>73</v>
      </c>
      <c r="K3" t="s">
        <v>72</v>
      </c>
      <c r="M3" t="s">
        <v>79</v>
      </c>
      <c r="O3" t="s">
        <v>71</v>
      </c>
      <c r="Q3" t="s">
        <v>60</v>
      </c>
      <c r="R3" t="s">
        <v>61</v>
      </c>
      <c r="S3" t="s">
        <v>77</v>
      </c>
      <c r="U3" s="5" t="s">
        <v>72</v>
      </c>
    </row>
    <row r="4" spans="1:22" x14ac:dyDescent="0.3">
      <c r="A4" t="s">
        <v>105</v>
      </c>
      <c r="B4" t="s">
        <v>50</v>
      </c>
      <c r="D4" t="s">
        <v>47</v>
      </c>
      <c r="E4">
        <v>1</v>
      </c>
      <c r="G4" t="s">
        <v>68</v>
      </c>
      <c r="I4" t="s">
        <v>75</v>
      </c>
      <c r="K4" t="s">
        <v>39</v>
      </c>
      <c r="M4" t="s">
        <v>34</v>
      </c>
      <c r="O4" s="1" t="s">
        <v>38</v>
      </c>
      <c r="Q4" t="s">
        <v>31</v>
      </c>
      <c r="R4" t="s">
        <v>95</v>
      </c>
      <c r="S4" s="7"/>
      <c r="U4" t="str" cm="1">
        <f t="array" aca="1" ref="U4:U11" ca="1">_xlfn.UNIQUE((_xlfn.VSTACK(INDIRECT("CfgIssueTypes[IssueType.Name]"),INDIRECT("CfgIgnoreList[IgnoreList.Name]"))))</f>
        <v>Story</v>
      </c>
    </row>
    <row r="5" spans="1:22" x14ac:dyDescent="0.3">
      <c r="A5" t="s">
        <v>106</v>
      </c>
      <c r="B5" t="s">
        <v>51</v>
      </c>
      <c r="D5" t="s">
        <v>48</v>
      </c>
      <c r="E5">
        <v>2</v>
      </c>
      <c r="G5" t="s">
        <v>69</v>
      </c>
      <c r="I5" t="s">
        <v>76</v>
      </c>
      <c r="K5" t="s">
        <v>37</v>
      </c>
      <c r="M5" t="s">
        <v>45</v>
      </c>
      <c r="O5" s="1" t="s">
        <v>53</v>
      </c>
      <c r="Q5" t="s">
        <v>57</v>
      </c>
      <c r="R5" t="s">
        <v>40</v>
      </c>
      <c r="S5" s="7" t="s">
        <v>84</v>
      </c>
      <c r="U5" t="str">
        <f ca="1"/>
        <v>Task</v>
      </c>
    </row>
    <row r="6" spans="1:22" x14ac:dyDescent="0.3">
      <c r="A6" t="s">
        <v>107</v>
      </c>
      <c r="B6" t="s">
        <v>52</v>
      </c>
      <c r="G6" t="s">
        <v>70</v>
      </c>
      <c r="I6" t="s">
        <v>99</v>
      </c>
      <c r="K6" t="s">
        <v>41</v>
      </c>
      <c r="M6" t="s">
        <v>33</v>
      </c>
      <c r="O6" s="1" t="s">
        <v>109</v>
      </c>
      <c r="Q6" t="s">
        <v>49</v>
      </c>
      <c r="R6" t="s">
        <v>108</v>
      </c>
      <c r="S6" s="7" t="s">
        <v>85</v>
      </c>
      <c r="U6" t="str">
        <f ca="1"/>
        <v>Bug</v>
      </c>
    </row>
    <row r="7" spans="1:22" x14ac:dyDescent="0.3">
      <c r="D7" s="2"/>
      <c r="E7" s="2"/>
      <c r="I7" t="s">
        <v>100</v>
      </c>
      <c r="K7" t="s">
        <v>42</v>
      </c>
      <c r="M7" t="s">
        <v>46</v>
      </c>
      <c r="O7" s="1" t="s">
        <v>43</v>
      </c>
      <c r="U7" t="str">
        <f ca="1"/>
        <v>Epic</v>
      </c>
    </row>
    <row r="8" spans="1:22" x14ac:dyDescent="0.3">
      <c r="D8" s="2"/>
      <c r="E8" s="2"/>
      <c r="I8" t="s">
        <v>101</v>
      </c>
      <c r="O8" s="1" t="s">
        <v>55</v>
      </c>
      <c r="U8" t="str">
        <f ca="1"/>
        <v>Comment</v>
      </c>
    </row>
    <row r="9" spans="1:22" x14ac:dyDescent="0.3">
      <c r="D9" s="2"/>
      <c r="E9" s="2"/>
      <c r="I9" t="s">
        <v>102</v>
      </c>
      <c r="O9" s="1" t="s">
        <v>56</v>
      </c>
      <c r="U9" t="str">
        <f ca="1"/>
        <v>Skip</v>
      </c>
    </row>
    <row r="10" spans="1:22" x14ac:dyDescent="0.3">
      <c r="D10" s="2"/>
      <c r="E10" s="2"/>
      <c r="I10" t="s">
        <v>103</v>
      </c>
      <c r="U10" t="str">
        <f ca="1"/>
        <v>Note</v>
      </c>
    </row>
    <row r="11" spans="1:22" x14ac:dyDescent="0.3">
      <c r="D11" s="2"/>
      <c r="E11" s="2"/>
      <c r="U11" t="str">
        <f ca="1"/>
        <v>WorkItem</v>
      </c>
    </row>
    <row r="12" spans="1:22" x14ac:dyDescent="0.3">
      <c r="D12" s="2"/>
      <c r="E12" s="2"/>
    </row>
    <row r="13" spans="1:22" x14ac:dyDescent="0.3">
      <c r="D13" s="2"/>
      <c r="E13" s="2"/>
    </row>
    <row r="14" spans="1:22" x14ac:dyDescent="0.3">
      <c r="D14" s="2"/>
      <c r="E14" s="2"/>
    </row>
    <row r="15" spans="1:22" x14ac:dyDescent="0.3">
      <c r="D15" s="2"/>
      <c r="E15" s="2"/>
    </row>
    <row r="16" spans="1:22" x14ac:dyDescent="0.3">
      <c r="D16" s="2"/>
      <c r="E16" s="2"/>
    </row>
    <row r="17" spans="4:5" x14ac:dyDescent="0.3">
      <c r="D17" s="2"/>
      <c r="E17" s="2"/>
    </row>
    <row r="18" spans="4:5" x14ac:dyDescent="0.3">
      <c r="D18" s="2"/>
      <c r="E18" s="2"/>
    </row>
    <row r="19" spans="4:5" x14ac:dyDescent="0.3">
      <c r="D19" s="2"/>
      <c r="E19" s="2"/>
    </row>
    <row r="20" spans="4:5" x14ac:dyDescent="0.3">
      <c r="D20" s="2"/>
      <c r="E20" s="2"/>
    </row>
    <row r="21" spans="4:5" x14ac:dyDescent="0.3">
      <c r="D21" s="2"/>
      <c r="E21" s="2"/>
    </row>
  </sheetData>
  <mergeCells count="7">
    <mergeCell ref="Q1:S1"/>
    <mergeCell ref="D1:E1"/>
    <mergeCell ref="A1:B1"/>
    <mergeCell ref="A2:B2"/>
    <mergeCell ref="D2:E2"/>
    <mergeCell ref="K2:L2"/>
    <mergeCell ref="Q2:R2"/>
  </mergeCells>
  <phoneticPr fontId="18" type="noConversion"/>
  <pageMargins left="0.7" right="0.7" top="0.75" bottom="0.75" header="0.3" footer="0.3"/>
  <pageSetup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Props1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2025-09-24T23:35:55Z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