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om_48_97\Downloads\"/>
    </mc:Choice>
  </mc:AlternateContent>
  <xr:revisionPtr revIDLastSave="0" documentId="13_ncr:1_{6CB533E1-F127-4B9B-ACDE-FE3A52926206}" xr6:coauthVersionLast="47" xr6:coauthVersionMax="47" xr10:uidLastSave="{00000000-0000-0000-0000-000000000000}"/>
  <bookViews>
    <workbookView xWindow="1116" yWindow="1116" windowWidth="23040" windowHeight="13560" activeTab="1" xr2:uid="{1FA076D1-0294-4A97-AB8C-3ADE2BC9CEA1}"/>
  </bookViews>
  <sheets>
    <sheet name="Dataset2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U4" i="2" a="1"/>
  <c r="AG3" i="1" l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<sst xmlns="http://schemas.openxmlformats.org/spreadsheetml/2006/main" count="119" uniqueCount="110">
  <si>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</si>
  <si>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</si>
  <si>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</si>
  <si>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</si>
  <si>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</si>
  <si>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</si>
  <si>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</si>
  <si>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</si>
  <si>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</si>
  <si>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</si>
  <si>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</si>
  <si>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</si>
  <si>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</si>
  <si>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</si>
  <si>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</si>
  <si>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</si>
  <si>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</si>
  <si>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</si>
  <si>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</si>
  <si>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</si>
  <si>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</si>
  <si>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</si>
  <si>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</si>
  <si>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</si>
  <si>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</si>
  <si>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</si>
  <si>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</si>
  <si>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</si>
  <si>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</si>
  <si>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</si>
  <si>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</si>
  <si>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</si>
  <si>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</si>
  <si>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</si>
  <si>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</si>
  <si>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</si>
  <si>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</si>
  <si>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</si>
  <si>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</si>
  <si>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</si>
  <si>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imported</t>
  </si>
  <si>
    <t>Bug</t>
  </si>
  <si>
    <t>Epic</t>
  </si>
  <si>
    <t>Low</t>
  </si>
  <si>
    <t>RowType</t>
  </si>
  <si>
    <t>Skip</t>
  </si>
  <si>
    <t>WorkItem</t>
  </si>
  <si>
    <t>Sprint 1</t>
  </si>
  <si>
    <t>Sprint 2</t>
  </si>
  <si>
    <t>Feature Pod Label</t>
  </si>
  <si>
    <t>712020:e4e815aa-df03-418a-9760-3e70901b6ec5</t>
  </si>
  <si>
    <t>712020:69ead6b8-698d-48a8-8abb-b55246f6cb7c</t>
  </si>
  <si>
    <t>712020:63630dfe-2a04-4021-9f7b-53445ba456e7</t>
  </si>
  <si>
    <t>Highest</t>
  </si>
  <si>
    <t>Hight</t>
  </si>
  <si>
    <t>Lowest</t>
  </si>
  <si>
    <t>Triage</t>
  </si>
  <si>
    <t>Creation Marker</t>
  </si>
  <si>
    <t>JV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</si>
  <si>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</si>
  <si>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</si>
  <si>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</si>
  <si>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</si>
  <si>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</si>
  <si>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</si>
  <si>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</si>
  <si>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</si>
  <si>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</si>
  <si>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</si>
  <si>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</si>
  <si>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</si>
  <si>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</si>
  <si>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</si>
  <si>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</si>
  <si>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</si>
  <si>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</si>
  <si>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SysOps</t>
  </si>
  <si>
    <t>DevOps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</si>
  <si>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</si>
  <si>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</si>
  <si>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</si>
  <si>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</si>
  <si>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</si>
  <si>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</si>
  <si>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</si>
  <si>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</si>
  <si>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</si>
  <si>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</si>
  <si>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</si>
  <si>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</si>
  <si>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</si>
  <si>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</si>
  <si>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</si>
  <si>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</si>
  <si>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</si>
  <si>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</si>
  <si>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JITTP2</t>
  </si>
  <si>
    <t>Test, Epic</t>
  </si>
  <si>
    <t>This is a test work item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</si>
  <si>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</si>
  <si>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</si>
  <si>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</si>
  <si>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</si>
  <si>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</si>
  <si>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</si>
  <si>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</si>
  <si>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tom4897</t>
  </si>
  <si>
    <t>Nakool</t>
  </si>
  <si>
    <t>MirageCentury</t>
  </si>
  <si>
    <t>pod_test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</si>
</sst>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>
      <calculatedColumnFormula>Config!$G$4</calculatedColumnFormula>
    </tableColumn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Row],[RowType]]=cfg_type_skip,"",_xlfn.XLOOKUP("Project 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0" totalsRowShown="0">
  <autoFilter ref="I3:I1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7" totalsRowShown="0">
  <autoFilter ref="K3:K7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6" totalsRowShown="0">
  <autoFilter ref="A3:B6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6" totalsRowShown="0">
  <autoFilter ref="Q3:S6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workbookViewId="0">
      <selection activeCell="C22" sqref="C22"/>
    </sheetView>
  </sheetViews>
  <sheetFormatPr defaultRowHeight="14.4" outlineLevelCol="1" x14ac:dyDescent="0.3"/>
  <cols>
    <col min="1" max="2" width="12.44140625" bestFit="1" customWidth="1"/>
    <col min="3" max="3" width="31.6640625" customWidth="1"/>
    <col min="4" max="4" width="11.88671875" hidden="1" customWidth="1"/>
    <col min="5" max="5" width="33" bestFit="1" customWidth="1"/>
    <col min="6" max="6" width="46.33203125" customWidth="1"/>
    <col min="7" max="7" width="17.44140625" bestFit="1" customWidth="1"/>
    <col min="8" max="8" width="22.5546875" customWidth="1"/>
    <col min="9" max="9" width="14" bestFit="1" customWidth="1"/>
    <col min="10" max="11" width="14.44140625" bestFit="1" customWidth="1"/>
    <col min="12" max="12" width="14.33203125" customWidth="1"/>
    <col min="13" max="13" width="14.44140625" customWidth="1"/>
    <col min="14" max="14" width="14.33203125" customWidth="1"/>
    <col min="15" max="15" width="0" hidden="1" customWidth="1"/>
    <col min="16" max="16" width="22.33203125" hidden="1" customWidth="1"/>
    <col min="17" max="17" width="12.88671875" hidden="1" customWidth="1"/>
    <col min="18" max="18" width="12.44140625" customWidth="1"/>
    <col min="19" max="19" width="15.5546875" customWidth="1"/>
    <col min="20" max="20" width="12.88671875" customWidth="1"/>
    <col min="21" max="21" width="10" customWidth="1"/>
    <col min="22" max="22" width="10" bestFit="1" customWidth="1"/>
    <col min="23" max="23" width="10" customWidth="1"/>
    <col min="24" max="24" width="10.109375" bestFit="1" customWidth="1"/>
    <col min="25" max="30" width="10" customWidth="1" outlineLevel="1"/>
    <col min="31" max="31" width="10" customWidth="1"/>
    <col min="32" max="32" width="8.6640625" customWidth="1" outlineLevel="1"/>
    <col min="33" max="34" width="13.109375" customWidth="1" outlineLevel="1"/>
    <col min="35" max="35" width="11.44140625" customWidth="1" outlineLevel="1"/>
    <col min="36" max="37" width="13.6640625" customWidth="1" outlineLevel="1"/>
    <col min="38" max="38" width="36.5546875" bestFit="1" customWidth="1"/>
    <col min="40" max="40" width="18.6640625" customWidth="1"/>
    <col min="41" max="41" width="87.33203125" customWidth="1"/>
  </cols>
  <sheetData>
    <row r="1" spans="1:36" x14ac:dyDescent="0.3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99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44</v>
      </c>
      <c r="AJ1" s="3" t="s">
        <v>33</v>
      </c>
    </row>
    <row r="2" spans="1:36" x14ac:dyDescent="0.3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83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Row],[RowType]]=cfg_type_skip,"",_xlfn.XLOOKUP("Project 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3">
      <c r="A3" s="3" t="s">
        <v>53</v>
      </c>
      <c r="B3" s="3" t="s">
        <v>42</v>
      </c>
      <c r="C3" s="3" t="s">
        <v>97</v>
      </c>
      <c r="D3" s="3"/>
      <c r="E3" s="3" t="s">
        <v>98</v>
      </c>
      <c r="F3" s="3" t="s">
        <v>71</v>
      </c>
      <c r="G3" s="3" t="s">
        <v>58</v>
      </c>
      <c r="H3" s="3" t="s">
        <v>77</v>
      </c>
      <c r="I3" s="3" t="s">
        <v>47</v>
      </c>
      <c r="J3" s="3" t="s">
        <v>95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/>
      </c>
      <c r="AG3" s="3" t="str">
        <f>IF(JiraDataset[[#This Row],[RowType]]=cfg_type_skip,"",_xlfn.XLOOKUP("Project Key", CfgAutofieldValues[Name], CfgAutofieldValues[Value]))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A1:A1048576 D4:N1048576 P4:AD1048576 C1:AB3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F2:AH3 AC2:AC3 AF1:AH1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B2:B3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tabSelected="1" topLeftCell="N1" workbookViewId="0">
      <selection activeCell="U8" sqref="U8"/>
    </sheetView>
  </sheetViews>
  <sheetFormatPr defaultRowHeight="14.4" x14ac:dyDescent="0.3"/>
  <cols>
    <col min="1" max="1" width="29.6640625" customWidth="1"/>
    <col min="2" max="2" width="49" bestFit="1" customWidth="1"/>
    <col min="3" max="3" width="4.33203125" customWidth="1"/>
    <col min="4" max="5" width="18.6640625" customWidth="1"/>
    <col min="6" max="6" width="4.33203125" customWidth="1"/>
    <col min="7" max="7" width="18.5546875" customWidth="1"/>
    <col min="8" max="8" width="4.33203125" customWidth="1"/>
    <col min="9" max="9" width="19.109375" customWidth="1"/>
    <col min="10" max="10" width="4.33203125" customWidth="1"/>
    <col min="11" max="11" width="18.5546875" customWidth="1"/>
    <col min="12" max="12" width="4.33203125" customWidth="1"/>
    <col min="13" max="13" width="17.5546875" customWidth="1"/>
    <col min="14" max="14" width="4.33203125" customWidth="1"/>
    <col min="15" max="15" width="18.6640625" customWidth="1"/>
    <col min="16" max="16" width="4.33203125" customWidth="1"/>
    <col min="17" max="18" width="18.6640625" customWidth="1"/>
    <col min="19" max="19" width="35" bestFit="1" customWidth="1"/>
    <col min="21" max="21" width="22.33203125" bestFit="1" customWidth="1"/>
  </cols>
  <sheetData>
    <row r="1" spans="1:22" ht="21" x14ac:dyDescent="0.4">
      <c r="A1" s="11" t="s">
        <v>81</v>
      </c>
      <c r="B1" s="11"/>
      <c r="D1" s="11" t="s">
        <v>82</v>
      </c>
      <c r="E1" s="11"/>
      <c r="G1" s="6" t="s">
        <v>64</v>
      </c>
      <c r="I1" s="6" t="s">
        <v>63</v>
      </c>
      <c r="K1" s="6" t="s">
        <v>59</v>
      </c>
      <c r="M1" s="6" t="s">
        <v>79</v>
      </c>
      <c r="O1" s="6" t="s">
        <v>60</v>
      </c>
      <c r="Q1" s="11" t="s">
        <v>105</v>
      </c>
      <c r="R1" s="11"/>
      <c r="S1" s="11"/>
      <c r="U1" s="6" t="s">
        <v>84</v>
      </c>
    </row>
    <row r="2" spans="1:22" x14ac:dyDescent="0.3">
      <c r="A2" s="12" t="s">
        <v>87</v>
      </c>
      <c r="B2" s="12"/>
      <c r="C2" s="7"/>
      <c r="D2" s="12" t="s">
        <v>88</v>
      </c>
      <c r="E2" s="12"/>
      <c r="F2" s="7"/>
      <c r="G2" s="10" t="s">
        <v>89</v>
      </c>
      <c r="H2" s="10"/>
      <c r="I2" s="10" t="s">
        <v>90</v>
      </c>
      <c r="J2" s="10"/>
      <c r="K2" s="12" t="s">
        <v>91</v>
      </c>
      <c r="L2" s="12"/>
      <c r="M2" s="9" t="s">
        <v>92</v>
      </c>
      <c r="N2" s="9"/>
      <c r="O2" s="10" t="s">
        <v>93</v>
      </c>
      <c r="P2" s="10"/>
      <c r="Q2" s="12"/>
      <c r="R2" s="12"/>
      <c r="S2" s="9"/>
      <c r="T2" s="7"/>
      <c r="U2" s="9" t="s">
        <v>94</v>
      </c>
      <c r="V2" s="9"/>
    </row>
    <row r="3" spans="1:22" x14ac:dyDescent="0.3">
      <c r="A3" t="s">
        <v>65</v>
      </c>
      <c r="B3" t="s">
        <v>66</v>
      </c>
      <c r="D3" t="s">
        <v>67</v>
      </c>
      <c r="E3" t="s">
        <v>68</v>
      </c>
      <c r="G3" t="s">
        <v>75</v>
      </c>
      <c r="I3" t="s">
        <v>74</v>
      </c>
      <c r="K3" t="s">
        <v>73</v>
      </c>
      <c r="M3" t="s">
        <v>80</v>
      </c>
      <c r="O3" t="s">
        <v>72</v>
      </c>
      <c r="Q3" t="s">
        <v>61</v>
      </c>
      <c r="R3" t="s">
        <v>62</v>
      </c>
      <c r="S3" t="s">
        <v>78</v>
      </c>
      <c r="U3" s="5" t="s">
        <v>73</v>
      </c>
    </row>
    <row r="4" spans="1:22" x14ac:dyDescent="0.3">
      <c r="A4" t="s">
        <v>106</v>
      </c>
      <c r="B4" t="s">
        <v>50</v>
      </c>
      <c r="D4" t="s">
        <v>47</v>
      </c>
      <c r="E4">
        <v>1</v>
      </c>
      <c r="G4" t="s">
        <v>69</v>
      </c>
      <c r="I4" t="s">
        <v>76</v>
      </c>
      <c r="K4" t="s">
        <v>39</v>
      </c>
      <c r="M4" t="s">
        <v>34</v>
      </c>
      <c r="O4" s="1" t="s">
        <v>38</v>
      </c>
      <c r="Q4" t="s">
        <v>31</v>
      </c>
      <c r="R4" t="s">
        <v>96</v>
      </c>
      <c r="S4" s="7"/>
      <c r="U4" t="str" cm="1">
        <f t="array" aca="1" ref="U4:U11" ca="1">_xlfn.UNIQUE((_xlfn.VSTACK(INDIRECT("CfgIssueTypes[IssueType.Name]"),INDIRECT("CfgIgnoreList[IgnoreList.Name]"))))</f>
        <v>Story</v>
      </c>
    </row>
    <row r="5" spans="1:22" x14ac:dyDescent="0.3">
      <c r="A5" t="s">
        <v>107</v>
      </c>
      <c r="B5" t="s">
        <v>51</v>
      </c>
      <c r="D5" t="s">
        <v>48</v>
      </c>
      <c r="E5">
        <v>2</v>
      </c>
      <c r="G5" t="s">
        <v>70</v>
      </c>
      <c r="I5" t="s">
        <v>77</v>
      </c>
      <c r="K5" t="s">
        <v>37</v>
      </c>
      <c r="M5" t="s">
        <v>45</v>
      </c>
      <c r="O5" s="1" t="s">
        <v>53</v>
      </c>
      <c r="Q5" t="s">
        <v>57</v>
      </c>
      <c r="R5" t="s">
        <v>40</v>
      </c>
      <c r="S5" s="7" t="s">
        <v>85</v>
      </c>
      <c r="U5" t="str">
        <f ca="1"/>
        <v>Task</v>
      </c>
    </row>
    <row r="6" spans="1:22" x14ac:dyDescent="0.3">
      <c r="A6" t="s">
        <v>108</v>
      </c>
      <c r="B6" t="s">
        <v>52</v>
      </c>
      <c r="G6" t="s">
        <v>71</v>
      </c>
      <c r="I6" t="s">
        <v>100</v>
      </c>
      <c r="K6" t="s">
        <v>41</v>
      </c>
      <c r="M6" t="s">
        <v>33</v>
      </c>
      <c r="O6" s="1" t="s">
        <v>54</v>
      </c>
      <c r="Q6" t="s">
        <v>49</v>
      </c>
      <c r="R6" t="s">
        <v>109</v>
      </c>
      <c r="S6" s="7" t="s">
        <v>86</v>
      </c>
      <c r="U6" t="str">
        <f ca="1"/>
        <v>Bug</v>
      </c>
    </row>
    <row r="7" spans="1:22" x14ac:dyDescent="0.3">
      <c r="D7" s="2"/>
      <c r="E7" s="2"/>
      <c r="I7" t="s">
        <v>101</v>
      </c>
      <c r="K7" t="s">
        <v>42</v>
      </c>
      <c r="M7" t="s">
        <v>46</v>
      </c>
      <c r="O7" s="1" t="s">
        <v>43</v>
      </c>
      <c r="U7" t="str">
        <f ca="1"/>
        <v>Epic</v>
      </c>
    </row>
    <row r="8" spans="1:22" x14ac:dyDescent="0.3">
      <c r="D8" s="2"/>
      <c r="E8" s="2"/>
      <c r="I8" t="s">
        <v>102</v>
      </c>
      <c r="O8" s="1" t="s">
        <v>55</v>
      </c>
      <c r="U8" t="str">
        <f ca="1"/>
        <v>Comment</v>
      </c>
    </row>
    <row r="9" spans="1:22" x14ac:dyDescent="0.3">
      <c r="D9" s="2"/>
      <c r="E9" s="2"/>
      <c r="I9" t="s">
        <v>103</v>
      </c>
      <c r="O9" s="1" t="s">
        <v>56</v>
      </c>
      <c r="U9" t="str">
        <f ca="1"/>
        <v>Skip</v>
      </c>
    </row>
    <row r="10" spans="1:22" x14ac:dyDescent="0.3">
      <c r="D10" s="2"/>
      <c r="E10" s="2"/>
      <c r="I10" t="s">
        <v>104</v>
      </c>
      <c r="U10" t="str">
        <f ca="1"/>
        <v>Note</v>
      </c>
    </row>
    <row r="11" spans="1:22" x14ac:dyDescent="0.3">
      <c r="D11" s="2"/>
      <c r="E11" s="2"/>
      <c r="U11" t="str">
        <f ca="1"/>
        <v>WorkItem</v>
      </c>
    </row>
    <row r="12" spans="1:22" x14ac:dyDescent="0.3">
      <c r="D12" s="2"/>
      <c r="E12" s="2"/>
    </row>
    <row r="13" spans="1:22" x14ac:dyDescent="0.3">
      <c r="D13" s="2"/>
      <c r="E13" s="2"/>
    </row>
    <row r="14" spans="1:22" x14ac:dyDescent="0.3">
      <c r="D14" s="2"/>
      <c r="E14" s="2"/>
    </row>
    <row r="15" spans="1:22" x14ac:dyDescent="0.3">
      <c r="D15" s="2"/>
      <c r="E15" s="2"/>
    </row>
    <row r="16" spans="1:22" x14ac:dyDescent="0.3">
      <c r="D16" s="2"/>
      <c r="E16" s="2"/>
    </row>
    <row r="17" spans="4:5" x14ac:dyDescent="0.3">
      <c r="D17" s="2"/>
      <c r="E17" s="2"/>
    </row>
    <row r="18" spans="4:5" x14ac:dyDescent="0.3">
      <c r="D18" s="2"/>
      <c r="E18" s="2"/>
    </row>
    <row r="19" spans="4:5" x14ac:dyDescent="0.3">
      <c r="D19" s="2"/>
      <c r="E19" s="2"/>
    </row>
    <row r="20" spans="4:5" x14ac:dyDescent="0.3">
      <c r="D20" s="2"/>
      <c r="E20" s="2"/>
    </row>
    <row r="21" spans="4:5" x14ac:dyDescent="0.3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Dataset2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2025-08-30T17:05:32Z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