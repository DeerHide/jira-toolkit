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09FDBF7F-D200-4D23-A13C-FBD71614ACEC}" xr6:coauthVersionLast="47" xr6:coauthVersionMax="47" xr10:uidLastSave="{00000000-0000-0000-0000-000000000000}"/>
  <bookViews>
    <workbookView xWindow="675" yWindow="4890" windowWidth="25740" windowHeight="15045" activeTab="1" xr2:uid="{1FA076D1-0294-4A97-AB8C-3ADE2BC9CEA1}"/>
  </bookViews>
  <sheets>
    <sheet name="Dataset" sheetId="1" r:id="rId1"/>
    <sheet name="Config" sheetId="2" r:id="rId2"/>
  </sheets>
  <definedNames>
    <definedName name="cfg_labels_ft_label">Config!$R$5</definedName>
    <definedName name="cfg_labels_ft_name">Config!$R$5</definedName>
    <definedName name="cfg_labels_imported">Config!$R$4</definedName>
    <definedName name="cfg_projectKey">Config!$R$7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Z4" i="2" a="1"/>
  <c r="AG3" i="1" l="1"/>
  <c r="AG2" i="1"/>
  <c r="AD3" i="1"/>
  <c r="AD2" i="1"/>
  <c r="AE2" i="1"/>
  <c r="Z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<sst xmlns="http://schemas.openxmlformats.org/spreadsheetml/2006/main" count="132" uniqueCount="121">
  <si>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</si>
  <si>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</si>
  <si>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</si>
  <si>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</si>
  <si>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</si>
  <si>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</si>
  <si>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</si>
  <si>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</si>
  <si>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</si>
  <si>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</si>
  <si>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</si>
  <si>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</si>
  <si>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</si>
  <si>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</si>
  <si>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</si>
  <si>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</si>
  <si>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</si>
  <si>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</si>
  <si>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</si>
  <si>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</si>
  <si>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</si>
  <si>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</si>
  <si>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</si>
  <si>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</si>
  <si>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</si>
  <si>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</si>
  <si>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</si>
  <si>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</si>
  <si>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</si>
  <si>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</si>
  <si>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</si>
  <si>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</si>
  <si>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</si>
  <si>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</si>
  <si>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</si>
  <si>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</si>
  <si>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</si>
  <si>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</si>
  <si>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</si>
  <si>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</si>
  <si>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</si>
  <si>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</si>
  <si>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</si>
  <si>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</si>
  <si>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</si>
  <si>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</si>
  <si>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Sprint 1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</si>
  <si>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</si>
  <si>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</si>
  <si>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</si>
  <si>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</si>
  <si>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</si>
  <si>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</si>
  <si>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</si>
  <si>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</si>
  <si>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</si>
  <si>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</si>
  <si>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</si>
  <si>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</si>
  <si>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</si>
  <si>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</si>
  <si>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</si>
  <si>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</si>
  <si>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</si>
  <si>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</si>
  <si>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</si>
  <si>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</si>
  <si>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</si>
  <si>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</si>
  <si>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</si>
  <si>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</si>
  <si>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</si>
  <si>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</si>
  <si>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</si>
  <si>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</si>
  <si>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</si>
  <si>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</si>
  <si>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</si>
  <si>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</si>
  <si>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</si>
  <si>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</si>
  <si>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</si>
  <si>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</si>
  <si>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Test, Epic</t>
  </si>
  <si>
    <t>This is a test work item</t>
  </si>
  <si>
    <t>Parent</t>
  </si>
  <si>
    <t>Development</t>
  </si>
  <si>
    <t>pod_test</t>
  </si>
  <si>
    <t>jira.connection.site_address</t>
  </si>
  <si>
    <t>jira.project.key</t>
  </si>
  <si>
    <t>validation.skip_issuetypes</t>
  </si>
  <si>
    <t>["comment", "note", "skip"]</t>
  </si>
  <si>
    <t>Version_Tag</t>
  </si>
  <si>
    <t>PROJECT KEY</t>
  </si>
  <si>
    <t>jt-imported</t>
  </si>
  <si>
    <t>High</t>
  </si>
  <si>
    <t>Sub-Task</t>
  </si>
  <si>
    <t>AtlassianID (cloud) or Email (DC)</t>
  </si>
  <si>
    <t>4w</t>
  </si>
  <si>
    <t>Configuration</t>
  </si>
  <si>
    <t>Custom Fields</t>
  </si>
  <si>
    <t>Id</t>
  </si>
  <si>
    <t>Type</t>
  </si>
  <si>
    <t>Format</t>
  </si>
  <si>
    <t>CF Number</t>
  </si>
  <si>
    <t>customfield_10125</t>
  </si>
  <si>
    <t>number</t>
  </si>
  <si>
    <t>CF Plain Text</t>
  </si>
  <si>
    <t>customfield_10124</t>
  </si>
  <si>
    <t>text</t>
  </si>
  <si>
    <t>CF Select</t>
  </si>
  <si>
    <t>customfield_10126</t>
  </si>
  <si>
    <t>select</t>
  </si>
  <si>
    <t>CF Date</t>
  </si>
  <si>
    <t>customfield_10123</t>
  </si>
  <si>
    <t>date</t>
  </si>
  <si>
    <t>CF Field</t>
  </si>
  <si>
    <t>any</t>
  </si>
  <si>
    <t>customfield_10128</t>
  </si>
  <si>
    <t>app.import.auto_open_page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</si>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</sst>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5" dataDxfId="54">
  <autoFilter ref="A1:AJ3" xr:uid="{933FCFD5-1AB1-4076-B5DD-E2B69F5EB3F2}"/>
  <tableColumns count="36">
    <tableColumn id="3" xr3:uid="{AF2EC907-349C-4651-852D-6E39C61E17FF}" name="Priority" dataDxfId="53"/>
    <tableColumn id="2" xr3:uid="{E90C51F2-4386-421F-A3E4-E2CA9D43D396}" name="IssueType" dataDxfId="52"/>
    <tableColumn id="1" xr3:uid="{BBAD373B-BA13-47E4-9F74-565F4D9E9680}" name="Summary" dataDxfId="51"/>
    <tableColumn id="4" xr3:uid="{026E5B97-FAFC-4E46-860E-0B0C976B1148}" name="Issue Key" dataDxfId="50"/>
    <tableColumn id="5" xr3:uid="{A2C262E8-D544-4669-99F1-151EDE081654}" name="Description" dataDxfId="49"/>
    <tableColumn id="7" xr3:uid="{0FAD1ACC-432E-462C-8B89-71540710BCB5}" name="FixVersion" dataDxfId="48"/>
    <tableColumn id="28" xr3:uid="{07F3030C-7187-4B16-BBDB-798304851975}" name="Assignee.Name" dataDxfId="47"/>
    <tableColumn id="8" xr3:uid="{8C7FB8DB-A85B-4189-93D8-0F0D4EEEF81B}" name="Component" dataDxfId="46"/>
    <tableColumn id="9" xr3:uid="{DC5101A8-1204-44D2-BC2C-FEE1A4EFE7C1}" name="Sprint Name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5" totalsRowShown="0">
  <autoFilter ref="I3:I5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5" totalsRowShown="0">
  <autoFilter ref="G3:G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8" totalsRowShown="0">
  <autoFilter ref="K3:K8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5" totalsRowShown="0">
  <autoFilter ref="A3:B5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10" totalsRowShown="0">
  <autoFilter ref="Q3:S10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F499BE-ED9A-4C28-BC5A-BCDEF51C613F}" name="CfgCustomFields" displayName="CfgCustomFields" ref="U3:X8" totalsRowShown="0">
  <autoFilter ref="U3:X8" xr:uid="{3EF499BE-ED9A-4C28-BC5A-BCDEF51C613F}"/>
  <tableColumns count="4">
    <tableColumn id="1" xr3:uid="{44010E5A-E449-477A-BFB0-2ECA215E3FEB}" name="Name"/>
    <tableColumn id="2" xr3:uid="{0E558995-744D-4813-9A4E-F64FFF5047AE}" name="Id"/>
    <tableColumn id="3" xr3:uid="{8D81F1E3-8799-4AE9-BACA-610A64846357}" name="Type"/>
    <tableColumn id="4" xr3:uid="{BEA106CA-BE66-4629-B856-FE53C841A6BA}" name="Format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workbookViewId="0">
      <selection activeCell="B3" sqref="B3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1.85546875" hidden="1" customWidth="1"/>
    <col min="5" max="5" width="33" bestFit="1" customWidth="1"/>
    <col min="6" max="6" width="46.2851562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85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43</v>
      </c>
      <c r="AJ1" s="3" t="s">
        <v>33</v>
      </c>
    </row>
    <row r="2" spans="1:36" x14ac:dyDescent="0.25">
      <c r="A2" s="3"/>
      <c r="B2" s="3" t="s">
        <v>34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71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Row],[RowType]]=cfg_type_skip,"",_xlfn.XLOOKUP("jira.project.key",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48</v>
      </c>
      <c r="B3" s="3" t="s">
        <v>41</v>
      </c>
      <c r="C3" s="3" t="s">
        <v>83</v>
      </c>
      <c r="D3" s="3"/>
      <c r="E3" s="3" t="s">
        <v>84</v>
      </c>
      <c r="F3" s="3" t="s">
        <v>92</v>
      </c>
      <c r="G3" s="3" t="s">
        <v>54</v>
      </c>
      <c r="H3" s="3" t="s">
        <v>86</v>
      </c>
      <c r="I3" s="3" t="s">
        <v>46</v>
      </c>
      <c r="J3" s="3" t="s">
        <v>98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jt-imported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>AtlassianID (cloud) or Email (DC)</v>
      </c>
      <c r="AG3" s="3" t="str">
        <f>IF(JiraDataset[[#This Row],[RowType]]=cfg_type_skip,"",_xlfn.XLOOKUP("jira.project.key", CfgAutofieldValues[Name], CfgAutofieldValues[Value]))</f>
        <v>PROJECT KEY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D4:N1048576 P4:AD1048576 C1:AB3 A1:A1048576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30" operator="containsText" text="critical">
      <formula>NOT(ISERROR(SEARCH("critical",A2)))</formula>
    </cfRule>
    <cfRule type="containsText" dxfId="14" priority="431" operator="containsText" text="High">
      <formula>NOT(ISERROR(SEARCH("High",A2)))</formula>
    </cfRule>
    <cfRule type="containsText" dxfId="13" priority="432" operator="containsText" text="Medium">
      <formula>NOT(ISERROR(SEARCH("Medium",A2)))</formula>
    </cfRule>
  </conditionalFormatting>
  <conditionalFormatting sqref="A2:A3">
    <cfRule type="containsBlanks" dxfId="12" priority="493">
      <formula>LEN(TRIM(A2))=0</formula>
    </cfRule>
  </conditionalFormatting>
  <conditionalFormatting sqref="A2:C3">
    <cfRule type="containsText" dxfId="11" priority="429" operator="containsText" text="blocker">
      <formula>NOT(ISERROR(SEARCH("blocker",A2)))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2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Config!$Z$4:$Z$33</xm:f>
          </x14:formula1>
          <xm:sqref>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A21"/>
  <sheetViews>
    <sheetView tabSelected="1" topLeftCell="L1" workbookViewId="0">
      <selection activeCell="S17" sqref="S17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6" max="26" width="22.28515625" bestFit="1" customWidth="1"/>
  </cols>
  <sheetData>
    <row r="1" spans="1:27" ht="21" x14ac:dyDescent="0.35">
      <c r="A1" s="11" t="s">
        <v>69</v>
      </c>
      <c r="B1" s="11"/>
      <c r="D1" s="11" t="s">
        <v>70</v>
      </c>
      <c r="E1" s="11"/>
      <c r="G1" s="6" t="s">
        <v>57</v>
      </c>
      <c r="I1" s="6" t="s">
        <v>56</v>
      </c>
      <c r="K1" s="6" t="s">
        <v>52</v>
      </c>
      <c r="M1" s="6" t="s">
        <v>67</v>
      </c>
      <c r="O1" s="6" t="s">
        <v>53</v>
      </c>
      <c r="Q1" s="11" t="s">
        <v>99</v>
      </c>
      <c r="R1" s="11"/>
      <c r="S1" s="11"/>
      <c r="U1" s="11" t="s">
        <v>100</v>
      </c>
      <c r="V1" s="11"/>
      <c r="W1" s="11"/>
      <c r="X1" s="11"/>
      <c r="Z1" s="6" t="s">
        <v>72</v>
      </c>
    </row>
    <row r="2" spans="1:27" x14ac:dyDescent="0.25">
      <c r="A2" s="12" t="s">
        <v>75</v>
      </c>
      <c r="B2" s="12"/>
      <c r="C2" s="7"/>
      <c r="D2" s="12" t="s">
        <v>76</v>
      </c>
      <c r="E2" s="12"/>
      <c r="F2" s="7"/>
      <c r="G2" s="10" t="s">
        <v>77</v>
      </c>
      <c r="H2" s="10"/>
      <c r="I2" s="10" t="s">
        <v>78</v>
      </c>
      <c r="J2" s="10"/>
      <c r="K2" s="12" t="s">
        <v>79</v>
      </c>
      <c r="L2" s="12"/>
      <c r="M2" s="9" t="s">
        <v>80</v>
      </c>
      <c r="N2" s="9"/>
      <c r="O2" s="10" t="s">
        <v>81</v>
      </c>
      <c r="P2" s="10"/>
      <c r="Q2" s="12"/>
      <c r="R2" s="12"/>
      <c r="S2" s="9"/>
      <c r="T2" s="7"/>
      <c r="U2" s="7"/>
      <c r="V2" s="7"/>
      <c r="W2" s="7"/>
      <c r="X2" s="7"/>
      <c r="Y2" s="7"/>
      <c r="Z2" s="9" t="s">
        <v>82</v>
      </c>
      <c r="AA2" s="9"/>
    </row>
    <row r="3" spans="1:27" x14ac:dyDescent="0.25">
      <c r="A3" t="s">
        <v>58</v>
      </c>
      <c r="B3" t="s">
        <v>59</v>
      </c>
      <c r="D3" t="s">
        <v>60</v>
      </c>
      <c r="E3" t="s">
        <v>61</v>
      </c>
      <c r="G3" t="s">
        <v>65</v>
      </c>
      <c r="I3" t="s">
        <v>64</v>
      </c>
      <c r="K3" t="s">
        <v>63</v>
      </c>
      <c r="M3" t="s">
        <v>68</v>
      </c>
      <c r="O3" t="s">
        <v>62</v>
      </c>
      <c r="Q3" t="s">
        <v>54</v>
      </c>
      <c r="R3" t="s">
        <v>55</v>
      </c>
      <c r="S3" t="s">
        <v>66</v>
      </c>
      <c r="U3" t="s">
        <v>54</v>
      </c>
      <c r="V3" t="s">
        <v>101</v>
      </c>
      <c r="W3" t="s">
        <v>102</v>
      </c>
      <c r="X3" t="s">
        <v>103</v>
      </c>
      <c r="Z3" s="5" t="s">
        <v>63</v>
      </c>
    </row>
    <row r="4" spans="1:27" x14ac:dyDescent="0.25">
      <c r="A4" t="s">
        <v>54</v>
      </c>
      <c r="B4" t="s">
        <v>97</v>
      </c>
      <c r="D4" t="s">
        <v>46</v>
      </c>
      <c r="E4">
        <v>1</v>
      </c>
      <c r="G4" t="s">
        <v>92</v>
      </c>
      <c r="I4" t="s">
        <v>86</v>
      </c>
      <c r="K4" t="s">
        <v>39</v>
      </c>
      <c r="M4" t="s">
        <v>34</v>
      </c>
      <c r="O4" s="1" t="s">
        <v>38</v>
      </c>
      <c r="Q4" t="s">
        <v>51</v>
      </c>
      <c r="R4" t="s">
        <v>94</v>
      </c>
      <c r="S4" s="7" t="s">
        <v>73</v>
      </c>
      <c r="U4" t="s">
        <v>104</v>
      </c>
      <c r="V4" t="s">
        <v>105</v>
      </c>
      <c r="W4" t="s">
        <v>106</v>
      </c>
      <c r="Z4" t="str" cm="1">
        <f t="array" aca="1" ref="Z4:Z12" ca="1">_xlfn.UNIQUE((_xlfn.VSTACK(INDIRECT("CfgIssueTypes[IssueType.Name]"),INDIRECT("CfgIgnoreList[IgnoreList.Name]"))))</f>
        <v>Story</v>
      </c>
    </row>
    <row r="5" spans="1:27" x14ac:dyDescent="0.25">
      <c r="K5" t="s">
        <v>37</v>
      </c>
      <c r="M5" t="s">
        <v>44</v>
      </c>
      <c r="O5" s="1" t="s">
        <v>48</v>
      </c>
      <c r="Q5" t="s">
        <v>47</v>
      </c>
      <c r="R5" t="s">
        <v>87</v>
      </c>
      <c r="S5" s="7" t="s">
        <v>74</v>
      </c>
      <c r="U5" t="s">
        <v>107</v>
      </c>
      <c r="V5" t="s">
        <v>108</v>
      </c>
      <c r="W5" t="s">
        <v>109</v>
      </c>
      <c r="Z5" t="str">
        <f ca="1"/>
        <v>Task</v>
      </c>
    </row>
    <row r="6" spans="1:27" x14ac:dyDescent="0.25">
      <c r="K6" t="s">
        <v>40</v>
      </c>
      <c r="M6" t="s">
        <v>33</v>
      </c>
      <c r="O6" s="1" t="s">
        <v>95</v>
      </c>
      <c r="Q6" t="s">
        <v>88</v>
      </c>
      <c r="S6" s="7"/>
      <c r="U6" t="s">
        <v>110</v>
      </c>
      <c r="V6" t="s">
        <v>111</v>
      </c>
      <c r="W6" t="s">
        <v>112</v>
      </c>
      <c r="Z6" t="str">
        <f ca="1"/>
        <v>Bug</v>
      </c>
    </row>
    <row r="7" spans="1:27" x14ac:dyDescent="0.25">
      <c r="D7" s="2"/>
      <c r="E7" s="2"/>
      <c r="K7" t="s">
        <v>41</v>
      </c>
      <c r="M7" t="s">
        <v>45</v>
      </c>
      <c r="O7" s="1" t="s">
        <v>42</v>
      </c>
      <c r="Q7" t="s">
        <v>89</v>
      </c>
      <c r="R7" t="s">
        <v>93</v>
      </c>
      <c r="S7" s="7"/>
      <c r="U7" t="s">
        <v>113</v>
      </c>
      <c r="V7" t="s">
        <v>114</v>
      </c>
      <c r="W7" t="s">
        <v>115</v>
      </c>
      <c r="Z7" t="str">
        <f ca="1"/>
        <v>Epic</v>
      </c>
    </row>
    <row r="8" spans="1:27" x14ac:dyDescent="0.25">
      <c r="D8" s="2"/>
      <c r="E8" s="2"/>
      <c r="K8" t="s">
        <v>96</v>
      </c>
      <c r="O8" s="1" t="s">
        <v>49</v>
      </c>
      <c r="S8" s="7"/>
      <c r="U8" t="s">
        <v>116</v>
      </c>
      <c r="V8" t="s">
        <v>118</v>
      </c>
      <c r="W8" t="s">
        <v>117</v>
      </c>
      <c r="Z8" t="str">
        <f ca="1"/>
        <v>Sub-Task</v>
      </c>
    </row>
    <row r="9" spans="1:27" x14ac:dyDescent="0.25">
      <c r="D9" s="2"/>
      <c r="E9" s="2"/>
      <c r="O9" s="1" t="s">
        <v>50</v>
      </c>
      <c r="Q9" t="s">
        <v>90</v>
      </c>
      <c r="R9" t="s">
        <v>91</v>
      </c>
      <c r="S9" s="7"/>
      <c r="Z9" t="str">
        <f ca="1"/>
        <v>Comment</v>
      </c>
    </row>
    <row r="10" spans="1:27" x14ac:dyDescent="0.25">
      <c r="D10" s="2"/>
      <c r="E10" s="2"/>
      <c r="Q10" t="s">
        <v>119</v>
      </c>
      <c r="R10" t="s">
        <v>120</v>
      </c>
      <c r="S10" s="7"/>
      <c r="Z10" t="str">
        <f ca="1"/>
        <v>Skip</v>
      </c>
    </row>
    <row r="11" spans="1:27" x14ac:dyDescent="0.25">
      <c r="D11" s="2"/>
      <c r="E11" s="2"/>
      <c r="Z11" t="str">
        <f ca="1"/>
        <v>Note</v>
      </c>
    </row>
    <row r="12" spans="1:27" x14ac:dyDescent="0.25">
      <c r="D12" s="2"/>
      <c r="E12" s="2"/>
      <c r="Z12" t="str">
        <f ca="1"/>
        <v>WorkItem</v>
      </c>
    </row>
    <row r="13" spans="1:27" x14ac:dyDescent="0.25">
      <c r="D13" s="2"/>
      <c r="E13" s="2"/>
    </row>
    <row r="14" spans="1:27" x14ac:dyDescent="0.25">
      <c r="D14" s="2"/>
      <c r="E14" s="2"/>
    </row>
    <row r="15" spans="1:27" x14ac:dyDescent="0.25">
      <c r="D15" s="2"/>
      <c r="E15" s="2"/>
    </row>
    <row r="16" spans="1:27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8">
    <mergeCell ref="U1:X1"/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2025-12-10T17:23:36Z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