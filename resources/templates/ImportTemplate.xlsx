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D6F4E5E5-CAF5-42B8-BDD6-A49043ED487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N4" i="1"/>
  <c r="AI4" i="1" a="1"/>
  <c r="AI4" i="1" s="1"/>
  <c r="AC4" i="1" l="1"/>
  <c r="AD4" i="1"/>
  <c r="AE4" i="1"/>
  <c r="AF4" i="1"/>
  <c r="AG4" i="1"/>
  <c r="AH4" i="1" a="1"/>
  <c r="AH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<sst xmlns="http://schemas.openxmlformats.org/spreadsheetml/2006/main" count="134" uniqueCount="112">
  <si>
    <t>Priority</t>
  </si>
  <si>
    <t>IssueType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</si>
  <si>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</si>
  <si>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</si>
  <si>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</si>
  <si>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</si>
  <si>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</si>
  <si>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</si>
  <si>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</si>
  <si>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</si>
  <si>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</si>
  <si>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Parent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</si>
  <si>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</si>
  <si>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</si>
  <si>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</si>
  <si>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</si>
  <si>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</si>
  <si>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</si>
  <si>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</si>
  <si>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</si>
  <si>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</si>
  <si>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</si>
  <si>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</si>
  <si>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</si>
  <si>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</si>
  <si>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</si>
  <si>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</si>
  <si>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</si>
  <si>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</si>
  <si>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</si>
  <si>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</si>
  <si>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</si>
  <si>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</si>
  <si>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</si>
  <si>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RowType</t>
  </si>
  <si>
    <t>Note</t>
  </si>
  <si>
    <t>FORMULA HOLDER</t>
  </si>
  <si>
    <t>DO NOT DELETE OR CLEAR THIS ROW</t>
  </si>
  <si>
    <t>1w 2d 3h</t>
  </si>
  <si>
    <t>SKIP</t>
  </si>
  <si>
    <t>Highest</t>
  </si>
  <si>
    <t>Epic</t>
  </si>
  <si>
    <t>Test, Epic</t>
  </si>
  <si>
    <t>This is a test work item</t>
  </si>
  <si>
    <t>JITTP Version 3</t>
  </si>
  <si>
    <t>JV</t>
  </si>
  <si>
    <t>DevOps</t>
  </si>
  <si>
    <t>Sprint 1</t>
  </si>
  <si>
    <t>1w</t>
  </si>
  <si>
    <t>imported</t>
  </si>
  <si>
    <t>pod_test</t>
  </si>
  <si>
    <t>JITTP2</t>
  </si>
  <si>
    <t>WorkItem</t>
  </si>
  <si>
    <t>Assignees</t>
  </si>
  <si>
    <t>Sprints</t>
  </si>
  <si>
    <t>Fix Version</t>
  </si>
  <si>
    <t>Components</t>
  </si>
  <si>
    <t>Issue Type</t>
  </si>
  <si>
    <t>Ignore List</t>
  </si>
  <si>
    <t>Priority Lists</t>
  </si>
  <si>
    <t>Misc Fields</t>
  </si>
  <si>
    <t>Combined Types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</si>
  <si>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</si>
  <si>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</si>
  <si>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</si>
  <si>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</si>
  <si>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</si>
  <si>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</si>
  <si>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</si>
  <si>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</si>
  <si>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Asssignee.Name</t>
  </si>
  <si>
    <t>Assignee.ID</t>
  </si>
  <si>
    <t>Sprint.Name</t>
  </si>
  <si>
    <t>Sprint.ID</t>
  </si>
  <si>
    <t>FixVersion.Name</t>
  </si>
  <si>
    <t>Component.Name</t>
  </si>
  <si>
    <t>IssueType.Name</t>
  </si>
  <si>
    <t>IgnoreList.Name</t>
  </si>
  <si>
    <t>Priority.Name</t>
  </si>
  <si>
    <t>Name</t>
  </si>
  <si>
    <t>Value</t>
  </si>
  <si>
    <t>Remark</t>
  </si>
  <si>
    <t>tom4897</t>
  </si>
  <si>
    <t>712020:e4e815aa-df03-418a-9760-3e70901b6ec5</t>
  </si>
  <si>
    <t>JITTP Version 1</t>
  </si>
  <si>
    <t>SysOps</t>
  </si>
  <si>
    <t>Story</t>
  </si>
  <si>
    <t>Comment</t>
  </si>
  <si>
    <t>Medium</t>
  </si>
  <si>
    <t>Nakool</t>
  </si>
  <si>
    <t>712020:69ead6b8-698d-48a8-8abb-b55246f6cb7c</t>
  </si>
  <si>
    <t>Sprint 2</t>
  </si>
  <si>
    <t>JITTP Version 2</t>
  </si>
  <si>
    <t>Task</t>
  </si>
  <si>
    <t>Skip</t>
  </si>
  <si>
    <t>Creation Marker</t>
  </si>
  <si>
    <t>A label added to all imported task to flag them in Jira</t>
  </si>
  <si>
    <t>MirageCentury</t>
  </si>
  <si>
    <t>712020:63630dfe-2a04-4021-9f7b-53445ba456e7</t>
  </si>
  <si>
    <t>Design</t>
  </si>
  <si>
    <t>Bug</t>
  </si>
  <si>
    <t>Hight</t>
  </si>
  <si>
    <t>Feature Pod Label</t>
  </si>
  <si>
    <t>Appropirate label for the feature pod when relevant</t>
  </si>
  <si>
    <t>Development</t>
  </si>
  <si>
    <t>Low</t>
  </si>
  <si>
    <t>Production</t>
  </si>
  <si>
    <t>Lowest</t>
  </si>
  <si>
    <t>Quality Assurance</t>
  </si>
  <si>
    <t>Triage</t>
  </si>
  <si>
    <t>Quality Control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</si>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</sst>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3">
    <xf numFmtId="0" fontId="0" fillId="0" borderId="0"/>
    <xf numFmtId="0" fontId="2" fillId="0" borderId="0"/>
    <xf numFmtId="0" fontId="3" fillId="2" borderId="0"/>
  </cellStyleXfs>
  <cellXfs count="15">
    <xf numFmtId="0" fontId="0" fillId="0" borderId="0" xfId="0"/>
    <xf numFmtId="49" fontId="0" fillId="0" borderId="0" xfId="0" applyNumberFormat="1"/>
    <xf numFmtId="0" fontId="4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3" borderId="1" xfId="0" applyFont="1" applyFill="1" applyBorder="1"/>
    <xf numFmtId="0" fontId="5" fillId="2" borderId="0" xfId="2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2" fillId="0" borderId="0" xfId="1" applyAlignment="1">
      <alignment horizontal="left" shrinkToFit="1"/>
    </xf>
    <xf numFmtId="0" fontId="2" fillId="0" borderId="0" xfId="1" applyAlignment="1">
      <alignment shrinkToFit="1"/>
    </xf>
    <xf numFmtId="0" fontId="2" fillId="0" borderId="0" xfId="1" applyAlignment="1">
      <alignment horizontal="left" shrinkToFit="1"/>
    </xf>
    <xf numFmtId="0" fontId="0" fillId="0" borderId="0" xfId="0"/>
    <xf numFmtId="0" fontId="5" fillId="2" borderId="0" xfId="2" applyFont="1" applyAlignment="1">
      <alignment horizontal="center"/>
    </xf>
    <xf numFmtId="0" fontId="0" fillId="0" borderId="0" xfId="0" applyNumberFormat="1" applyAlignment="1">
      <alignment vertical="top"/>
    </xf>
  </cellXfs>
  <cellStyles count="3">
    <cellStyle name="Accent4" xfId="2" builtinId="41"/>
    <cellStyle name="Explanatory Text" xfId="1" builtinId="53"/>
    <cellStyle name="Normal" xfId="0" builtinId="0"/>
  </cellStyles>
  <dxfs count="72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</font>
      <fill>
        <patternFill>
          <bgColor rgb="FFFFCC99"/>
        </patternFill>
      </fill>
    </dxf>
    <dxf>
      <font>
        <b/>
      </font>
      <fill>
        <patternFill>
          <bgColor rgb="FFFF9999"/>
        </patternFill>
      </fill>
    </dxf>
    <dxf>
      <font>
        <b/>
      </font>
      <fill>
        <patternFill>
          <bgColor rgb="FFFF99CC"/>
        </patternFill>
      </fill>
    </dxf>
    <dxf>
      <font>
        <b/>
      </font>
      <fill>
        <patternFill>
          <bgColor rgb="FFFF6699"/>
        </patternFill>
      </fill>
    </dxf>
    <dxf>
      <alignment vertical="top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horizontal="general" vertical="top"/>
    </dxf>
    <dxf>
      <alignment vertical="top"/>
    </dxf>
    <dxf>
      <alignment vertical="top"/>
    </dxf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</font>
      <fill>
        <patternFill>
          <bgColor rgb="FFFFCC99"/>
        </patternFill>
      </fill>
    </dxf>
    <dxf>
      <font>
        <b/>
      </font>
      <fill>
        <patternFill>
          <bgColor rgb="FFFF9999"/>
        </patternFill>
      </fill>
    </dxf>
    <dxf>
      <font>
        <b/>
      </font>
      <fill>
        <patternFill>
          <bgColor rgb="FFFF99CC"/>
        </patternFill>
      </fill>
    </dxf>
    <dxf>
      <font>
        <b/>
      </font>
      <fill>
        <patternFill>
          <bgColor rgb="FFFF6699"/>
        </patternFill>
      </fill>
    </dxf>
    <dxf>
      <alignment horizontal="general" vertical="bottom" shrinkToFit="1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iraDataset" displayName="JiraDataset" ref="A1:AJ4" totalsRowShown="0" headerRowDxfId="53" dataDxfId="52">
  <autoFilter ref="A1:AJ4" xr:uid="{00000000-0009-0000-0100-000001000000}"/>
  <tableColumns count="36">
    <tableColumn id="3" xr3:uid="{00000000-0010-0000-0000-000003000000}" name="Priority" dataDxfId="51"/>
    <tableColumn id="2" xr3:uid="{00000000-0010-0000-0000-000002000000}" name="IssueType" dataDxfId="50"/>
    <tableColumn id="1" xr3:uid="{00000000-0010-0000-0000-000001000000}" name="Summary" dataDxfId="49"/>
    <tableColumn id="4" xr3:uid="{00000000-0010-0000-0000-000004000000}" name="Issue Key" dataDxfId="48"/>
    <tableColumn id="5" xr3:uid="{00000000-0010-0000-0000-000005000000}" name="Description" dataDxfId="47"/>
    <tableColumn id="7" xr3:uid="{00000000-0010-0000-0000-000007000000}" name="FixVersion" dataDxfId="46">
      <calculatedColumnFormula>Config!$G$4</calculatedColumnFormula>
    </tableColumn>
    <tableColumn id="28" xr3:uid="{00000000-0010-0000-0000-00001C000000}" name="Assignee.Name" dataDxfId="45"/>
    <tableColumn id="8" xr3:uid="{00000000-0010-0000-0000-000008000000}" name="Component" dataDxfId="44"/>
    <tableColumn id="9" xr3:uid="{00000000-0010-0000-0000-000009000000}" name="Sprint Name" dataDxfId="43"/>
    <tableColumn id="40" xr3:uid="{00000000-0010-0000-0000-000028000000}" name="Estimate" dataDxfId="42"/>
    <tableColumn id="10" xr3:uid="{00000000-0010-0000-0000-00000A000000}" name="Issue ID" dataDxfId="41"/>
    <tableColumn id="30" xr3:uid="{00000000-0010-0000-0000-00001E000000}" name="Parent" dataDxfId="40"/>
    <tableColumn id="11" xr3:uid="{00000000-0010-0000-0000-00000B000000}" name="Epic Link" dataDxfId="39"/>
    <tableColumn id="33" xr3:uid="{00000000-0010-0000-0000-000021000000}" name="Epic Name" dataDxfId="38">
      <calculatedColumnFormula>IF(JiraDataset[[#This Row],[IssueType]]="Epic",JiraDataset[[#This Row],[Summary]],"")</calculatedColumnFormula>
    </tableColumn>
    <tableColumn id="27" xr3:uid="{00000000-0010-0000-0000-00001B000000}" name="Child-Issue" dataDxfId="37"/>
    <tableColumn id="41" xr3:uid="{00000000-0010-0000-0000-000029000000}" name="Child-Issue1" dataDxfId="36"/>
    <tableColumn id="29" xr3:uid="{00000000-0010-0000-0000-00001D000000}" name="Child-Issue2" dataDxfId="35"/>
    <tableColumn id="12" xr3:uid="{00000000-0010-0000-0000-00000C000000}" name="Labels" dataDxfId="34"/>
    <tableColumn id="13" xr3:uid="{00000000-0010-0000-0000-00000D000000}" name="Labels1" dataDxfId="33"/>
    <tableColumn id="14" xr3:uid="{00000000-0010-0000-0000-00000E000000}" name="Labels2" dataDxfId="32"/>
    <tableColumn id="15" xr3:uid="{00000000-0010-0000-0000-00000F000000}" name="Labels3" dataDxfId="31"/>
    <tableColumn id="16" xr3:uid="{00000000-0010-0000-0000-000010000000}" name="Labels4" dataDxfId="30"/>
    <tableColumn id="17" xr3:uid="{00000000-0010-0000-0000-000011000000}" name="Labels5" dataDxfId="29"/>
    <tableColumn id="18" xr3:uid="{00000000-0010-0000-0000-000012000000}" name="Labels6" dataDxfId="28"/>
    <tableColumn id="19" xr3:uid="{00000000-0010-0000-0000-000013000000}" name="Labels7" dataDxfId="27"/>
    <tableColumn id="26" xr3:uid="{00000000-0010-0000-0000-00001A000000}" name="Labels8" dataDxfId="26"/>
    <tableColumn id="20" xr3:uid="{00000000-0010-0000-0000-000014000000}" name="Labels9" dataDxfId="25"/>
    <tableColumn id="25" xr3:uid="{00000000-0010-0000-0000-000019000000}" name="Labels10" dataDxfId="24"/>
    <tableColumn id="21" xr3:uid="{00000000-0010-0000-0000-000015000000}" name="Sprint" dataDxfId="23">
      <calculatedColumnFormula>IF(JiraDataset[[#This Row],[RowType]]=cfg_type_skip,"",IFERROR(VLOOKUP(JiraDataset[[#This Row],[Sprint Name]], Config!$D$4:$E$9, 2, FALSE), ""))</calculatedColumnFormula>
    </tableColumn>
    <tableColumn id="22" xr3:uid="{00000000-0010-0000-0000-000016000000}" name="Labels0001" dataDxfId="22">
      <calculatedColumnFormula>IF(JiraDataset[[#This Row],[RowType]]=cfg_type_skip,"",_xlfn.XLOOKUP("Creation Marker", CfgAutofieldValues[Name], CfgAutofieldValues[Value]))</calculatedColumnFormula>
    </tableColumn>
    <tableColumn id="39" xr3:uid="{00000000-0010-0000-0000-000027000000}" name="Labels0002" dataDxfId="21">
      <calculatedColumnFormula>IF(JiraDataset[[#This Row],[RowType]]=cfg_type_skip,"",_xlfn.XLOOKUP("Feature Pod Label", CfgAutofieldValues[Name], CfgAutofieldValues[Value]))</calculatedColumnFormula>
    </tableColumn>
    <tableColumn id="6" xr3:uid="{00000000-0010-0000-0000-000006000000}" name="Assignee" dataDxfId="20">
      <calculatedColumnFormula>IF(JiraDataset[[#This Row],[RowType]]=cfg_type_skip,"",IFERROR(VLOOKUP(JiraDataset[[#This Row],[Assignee.Name]], Config!$A$4:$B$24, 2, FALSE), ""))</calculatedColumnFormula>
    </tableColumn>
    <tableColumn id="23" xr3:uid="{00000000-0010-0000-0000-000017000000}" name="Project Key" dataDxfId="19">
      <calculatedColumnFormula>IF(JiraDataset[[#This Row],[RowType]]=cfg_type_skip,"",_xlfn.XLOOKUP("Project Key", CfgAutofieldValues[Name], CfgAutofieldValues[Value]))</calculatedColumnFormula>
    </tableColumn>
    <tableColumn id="42" xr3:uid="{00000000-0010-0000-0000-00002A000000}" name="OrigEst" dataDxfId="18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00000000-0010-0000-0000-00002C000000}" name="RowType" dataDxfId="17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00000000-0010-0000-0000-000018000000}" name="Note" dataDxfId="1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fgComponents" displayName="CfgComponents" ref="I3:I10" totalsRowShown="0">
  <autoFilter ref="I3:I10" xr:uid="{00000000-0009-0000-0100-000002000000}"/>
  <tableColumns count="1">
    <tableColumn id="1" xr3:uid="{00000000-0010-0000-0100-000001000000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fgFixVersions" displayName="CfgFixVersions" ref="G3:G6" totalsRowShown="0">
  <autoFilter ref="G3:G6" xr:uid="{00000000-0009-0000-0100-000003000000}"/>
  <tableColumns count="1">
    <tableColumn id="1" xr3:uid="{00000000-0010-0000-0200-000001000000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fgIssueTypes" displayName="CfgIssueTypes" ref="K3:K7" totalsRowShown="0">
  <autoFilter ref="K3:K7" xr:uid="{00000000-0009-0000-0100-000004000000}"/>
  <tableColumns count="1">
    <tableColumn id="1" xr3:uid="{00000000-0010-0000-0300-000001000000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fgPriorities" displayName="CfgPriorities" ref="O3:O9" totalsRowShown="0">
  <autoFilter ref="O3:O9" xr:uid="{00000000-0009-0000-0100-000005000000}"/>
  <tableColumns count="1">
    <tableColumn id="1" xr3:uid="{00000000-0010-0000-0400-000001000000}" name="Priority.Name" dataDxfId="71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fgAssignees" displayName="CfgAssignees" ref="A3:B6" totalsRowShown="0">
  <autoFilter ref="A3:B6" xr:uid="{00000000-0009-0000-0100-000006000000}"/>
  <tableColumns count="2">
    <tableColumn id="1" xr3:uid="{00000000-0010-0000-0500-000001000000}" name="Asssignee.Name"/>
    <tableColumn id="2" xr3:uid="{00000000-0010-0000-0500-000002000000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fgSprints" displayName="CfgSprints" ref="D3:E5" totalsRowShown="0">
  <autoFilter ref="D3:E5" xr:uid="{00000000-0009-0000-0100-000007000000}"/>
  <tableColumns count="2">
    <tableColumn id="1" xr3:uid="{00000000-0010-0000-0600-000001000000}" name="Sprint.Name"/>
    <tableColumn id="2" xr3:uid="{00000000-0010-0000-0600-000002000000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fgAutofieldValues" displayName="CfgAutofieldValues" ref="Q3:S6" totalsRowShown="0">
  <autoFilter ref="Q3:S6" xr:uid="{00000000-0009-0000-0100-000008000000}"/>
  <tableColumns count="3">
    <tableColumn id="1" xr3:uid="{00000000-0010-0000-0700-000001000000}" name="Name"/>
    <tableColumn id="2" xr3:uid="{00000000-0010-0000-0700-000002000000}" name="Value"/>
    <tableColumn id="3" xr3:uid="{00000000-0010-0000-0700-000003000000}" name="Remark" dataDxfId="70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fgIgnoreList" displayName="CfgIgnoreList" ref="M3:M7" totalsRowShown="0">
  <autoFilter ref="M3:M7" xr:uid="{00000000-0009-0000-0100-000009000000}"/>
  <tableColumns count="1">
    <tableColumn id="1" xr3:uid="{00000000-0010-0000-0800-000001000000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"/>
  <sheetViews>
    <sheetView showGridLines="0" tabSelected="1" workbookViewId="0">
      <selection activeCell="F4" sqref="F4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13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11</v>
      </c>
      <c r="M1" s="3" t="s">
        <v>12</v>
      </c>
      <c r="N1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4" t="s">
        <v>33</v>
      </c>
      <c r="AI1" s="4" t="s">
        <v>34</v>
      </c>
      <c r="AJ1" s="3" t="s">
        <v>35</v>
      </c>
    </row>
    <row r="2" spans="1:36" x14ac:dyDescent="0.25">
      <c r="A2" s="3"/>
      <c r="B2" s="3" t="s">
        <v>35</v>
      </c>
      <c r="C2" s="3" t="s">
        <v>36</v>
      </c>
      <c r="D2" s="3"/>
      <c r="E2" s="3" t="s">
        <v>37</v>
      </c>
      <c r="F2" s="3"/>
      <c r="G2" s="3"/>
      <c r="H2" s="3"/>
      <c r="I2" s="3"/>
      <c r="J2" s="3" t="s">
        <v>38</v>
      </c>
      <c r="K2" s="3">
        <v>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8"/>
      <c r="AF2" s="3"/>
      <c r="AG2" s="3"/>
      <c r="AH2" s="3"/>
      <c r="AI2" s="3" t="s">
        <v>39</v>
      </c>
      <c r="AJ2" s="3"/>
    </row>
    <row r="3" spans="1:36" x14ac:dyDescent="0.25">
      <c r="A3" s="3" t="s">
        <v>40</v>
      </c>
      <c r="B3" s="3" t="s">
        <v>41</v>
      </c>
      <c r="C3" s="3" t="s">
        <v>42</v>
      </c>
      <c r="D3" s="3"/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>
        <v>2</v>
      </c>
      <c r="L3" s="3"/>
      <c r="M3" s="3"/>
      <c r="N3" s="3" t="s">
        <v>42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v>1</v>
      </c>
      <c r="AD3" s="3" t="s">
        <v>49</v>
      </c>
      <c r="AE3" s="8" t="s">
        <v>50</v>
      </c>
      <c r="AF3" s="3"/>
      <c r="AG3" s="3" t="s">
        <v>51</v>
      </c>
      <c r="AH3" s="3">
        <v>8640000</v>
      </c>
      <c r="AI3" s="3" t="s">
        <v>52</v>
      </c>
      <c r="AJ3" s="3"/>
    </row>
    <row r="4" spans="1:36" x14ac:dyDescent="0.25">
      <c r="A4" s="3"/>
      <c r="B4" s="3"/>
      <c r="C4" s="3"/>
      <c r="D4" s="3"/>
      <c r="E4" s="3"/>
      <c r="F4" s="14" t="str">
        <f>Config!$G$4</f>
        <v>JITTP Version 1</v>
      </c>
      <c r="G4" s="3"/>
      <c r="H4" s="3"/>
      <c r="I4" s="3"/>
      <c r="J4" s="3"/>
      <c r="K4" s="3"/>
      <c r="L4" s="14"/>
      <c r="M4" s="3"/>
      <c r="N4" s="14" t="str">
        <f>IF(JiraDataset[[#This Row],[IssueType]]="Epic",JiraDataset[[#This Row],[Summary]],"")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14" t="str">
        <f>IF(JiraDataset[[#This Row],[RowType]]=cfg_type_skip,"",IFERROR(VLOOKUP(JiraDataset[[#This Row],[Sprint Name]], Config!$D$4:$E$9, 2, FALSE), ""))</f>
        <v/>
      </c>
      <c r="AD4" s="14" t="str">
        <f>IF(JiraDataset[[#This Row],[RowType]]=cfg_type_skip,"",_xlfn.XLOOKUP("Creation Marker", CfgAutofieldValues[Name], CfgAutofieldValues[Value]))</f>
        <v>imported</v>
      </c>
      <c r="AE4" s="8" t="str">
        <f>IF(JiraDataset[[#This Row],[RowType]]=cfg_type_skip,"",_xlfn.XLOOKUP("Feature Pod Label", CfgAutofieldValues[Name], CfgAutofieldValues[Value]))</f>
        <v>pod_test</v>
      </c>
      <c r="AF4" s="14" t="str">
        <f>IF(JiraDataset[[#This Row],[RowType]]=cfg_type_skip,"",IFERROR(VLOOKUP(JiraDataset[[#This Row],[Assignee.Name]], Config!$A$4:$B$24, 2, FALSE), ""))</f>
        <v/>
      </c>
      <c r="AG4" s="14" t="str">
        <f>IF(JiraDataset[[#This Row],[RowType]]=cfg_type_skip,"",_xlfn.XLOOKUP("Project Key", CfgAutofieldValues[Name], CfgAutofieldValues[Value]))</f>
        <v>JITTP2</v>
      </c>
      <c r="AH4" s="14" t="str" cm="1">
        <f t="array" ref="AH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4" s="14" t="str" cm="1">
        <f t="array" ref="AI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4" s="3" t="s">
        <v>111</v>
      </c>
    </row>
  </sheetData>
  <conditionalFormatting sqref="A2:A4 C2:C4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4">
    <cfRule type="containsBlanks" dxfId="11" priority="493">
      <formula>LEN(TRIM(A2))=0</formula>
    </cfRule>
  </conditionalFormatting>
  <conditionalFormatting sqref="A2:AJ4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4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4">
    <cfRule type="expression" dxfId="3" priority="1">
      <formula>$B2="Epic"</formula>
    </cfRule>
    <cfRule type="expression" dxfId="2" priority="2">
      <formula>$B2="Story"</formula>
    </cfRule>
  </conditionalFormatting>
  <conditionalFormatting sqref="C2:C4">
    <cfRule type="containsBlanks" dxfId="1" priority="494">
      <formula>LEN(TRIM(C2))=0</formula>
    </cfRule>
  </conditionalFormatting>
  <conditionalFormatting sqref="K2:L4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000000-0002-0000-0000-000000000000}">
      <formula1>1</formula1>
      <formula2>1000</formula2>
    </dataValidation>
    <dataValidation allowBlank="1" showInputMessage="1" showErrorMessage="1" error="must be a valid component" sqref="J2:J4" xr:uid="{00000000-0002-0000-0000-000001000000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4" xr:uid="{00000000-0002-0000-0000-000002000000}">
      <formula1>1</formula1>
      <formula2>1000</formula2>
    </dataValidation>
    <dataValidation allowBlank="1" showInputMessage="1" showErrorMessage="1" promptTitle="Note" prompt="The content of this column will be ignored during the Jira import." sqref="AJ2:AJ4" xr:uid="{00000000-0002-0000-0000-000003000000}"/>
    <dataValidation allowBlank="1" showInputMessage="1" showErrorMessage="1" promptTitle="Permissions" prompt="Updating Existing Issues requires global admin permissions" sqref="D2:D4" xr:uid="{00000000-0002-0000-0000-000004000000}"/>
    <dataValidation type="whole" allowBlank="1" showErrorMessage="1" promptTitle="Warning" prompt="Use the Issue ID value to link this work item to an Epic_x000a__x000a_Story Issues are not Child-Issues and should have Epic Link instead. " sqref="M2:M4" xr:uid="{00000000-0002-0000-0000-000005000000}">
      <formula1>1</formula1>
      <formula2>1000</formula2>
    </dataValidation>
    <dataValidation allowBlank="1" showInputMessage="1" showErrorMessage="1" prompt="It must be a number (integer). This reference is only used during the import process." sqref="K1" xr:uid="{00000000-0002-0000-0000-000006000000}"/>
    <dataValidation allowBlank="1" showInputMessage="1" showErrorMessage="1" prompt="Use the Issue ID value to link this work item to an Epic_x000a__x000a_Story Issues are not Child-Issues and should have Epic Link instead. " sqref="M1" xr:uid="{00000000-0002-0000-0000-000007000000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00000000-0002-0000-0000-000008000000}"/>
    <dataValidation allowBlank="1" showInputMessage="1" showErrorMessage="1" error="must be a valid fixversion" promptTitle="AUTOMATIC FIELD" prompt="Do not manually edit these!" sqref="AC2:AC4 AF1:AH4" xr:uid="{00000000-0002-0000-0000-000009000000}"/>
    <dataValidation type="list" allowBlank="1" showInputMessage="1" showErrorMessage="1" error="must be a valid component" sqref="H2:H4" xr:uid="{00000000-0002-0000-0000-00000A000000}">
      <formula1>INDIRECT("CfgComponents[Component.Name]")</formula1>
    </dataValidation>
    <dataValidation type="list" errorStyle="warning" showErrorMessage="1" error="must be a valid fixversion" sqref="G2:G4" xr:uid="{00000000-0002-0000-0000-00000B000000}">
      <formula1>INDIRECT("CfgAssignees[Asssignee.Name]")</formula1>
    </dataValidation>
    <dataValidation type="list" allowBlank="1" showInputMessage="1" showErrorMessage="1" error="must be a valid component" sqref="I2:I4" xr:uid="{00000000-0002-0000-0000-00000C000000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L2:L3 N2:N3" xr:uid="{00000000-0002-0000-0000-00000D000000}"/>
    <dataValidation allowBlank="1" showInputMessage="1" showErrorMessage="1" prompt="Field only used for Epic Issues, so they can be referenced in Story Issues via the Epic Link field.," sqref="L1" xr:uid="{00000000-0002-0000-0000-00000E000000}"/>
    <dataValidation allowBlank="1" showInputMessage="1" showErrorMessage="1" prompt="It must be a number (integer) or the Work Item key. This reference is only used during the import process to set the parent." sqref="L1" xr:uid="{00000000-0002-0000-0000-00000F000000}"/>
    <dataValidation allowBlank="1" showInputMessage="1" showErrorMessage="1" prompt="Field only used for Epic work item, so they can be referenced in Story work items via the Epic Link field. _x000a_DC Only" sqref="N1" xr:uid="{00000000-0002-0000-0000-000010000000}"/>
    <dataValidation allowBlank="1" showInputMessage="1" showErrorMessage="1" error="must be a valid fixversion" promptTitle="Creation Marker (Config Sheet)" prompt="Do not manually edit these!" sqref="AD1:AD4" xr:uid="{00000000-0002-0000-0000-000011000000}"/>
    <dataValidation allowBlank="1" showInputMessage="1" showErrorMessage="1" error="must be a valid fixversion" promptTitle="Feature Pod Label (Config Sheet)" prompt="Do not manually edit these!" sqref="AE1:AE4" xr:uid="{00000000-0002-0000-0000-000012000000}"/>
    <dataValidation allowBlank="1" showInputMessage="1" showErrorMessage="1" error="must be a valid fixversion" promptTitle="AUTOMATIC FIELD" prompt="Do not manually edit these! SKIP types won't be imported into Jira" sqref="AI1:AI4" xr:uid="{00000000-0002-0000-0000-000013000000}"/>
  </dataValidation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"/>
  <sheetViews>
    <sheetView topLeftCell="N1" workbookViewId="0">
      <selection activeCell="U8" sqref="U8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1" max="21" width="22.28515625" bestFit="1" customWidth="1"/>
  </cols>
  <sheetData>
    <row r="1" spans="1:22" ht="21" customHeight="1" x14ac:dyDescent="0.35">
      <c r="A1" s="13" t="s">
        <v>53</v>
      </c>
      <c r="B1" s="12"/>
      <c r="D1" s="13" t="s">
        <v>54</v>
      </c>
      <c r="E1" s="12"/>
      <c r="G1" s="6" t="s">
        <v>55</v>
      </c>
      <c r="I1" s="6" t="s">
        <v>56</v>
      </c>
      <c r="K1" s="6" t="s">
        <v>57</v>
      </c>
      <c r="M1" s="6" t="s">
        <v>58</v>
      </c>
      <c r="O1" s="6" t="s">
        <v>59</v>
      </c>
      <c r="Q1" s="13" t="s">
        <v>60</v>
      </c>
      <c r="R1" s="12"/>
      <c r="S1" s="12"/>
      <c r="U1" s="6" t="s">
        <v>61</v>
      </c>
    </row>
    <row r="2" spans="1:22" x14ac:dyDescent="0.25">
      <c r="A2" s="11" t="s">
        <v>62</v>
      </c>
      <c r="B2" s="12"/>
      <c r="C2" s="7"/>
      <c r="D2" s="11" t="s">
        <v>63</v>
      </c>
      <c r="E2" s="12"/>
      <c r="F2" s="7"/>
      <c r="G2" s="10" t="s">
        <v>64</v>
      </c>
      <c r="H2" s="10"/>
      <c r="I2" s="10" t="s">
        <v>65</v>
      </c>
      <c r="J2" s="10"/>
      <c r="K2" s="11" t="s">
        <v>66</v>
      </c>
      <c r="L2" s="12"/>
      <c r="M2" s="9" t="s">
        <v>67</v>
      </c>
      <c r="N2" s="9"/>
      <c r="O2" s="10" t="s">
        <v>68</v>
      </c>
      <c r="P2" s="10"/>
      <c r="Q2" s="11"/>
      <c r="R2" s="12"/>
      <c r="S2" s="9"/>
      <c r="T2" s="7"/>
      <c r="U2" s="9" t="s">
        <v>69</v>
      </c>
      <c r="V2" s="9"/>
    </row>
    <row r="3" spans="1:22" x14ac:dyDescent="0.25">
      <c r="A3" t="s">
        <v>70</v>
      </c>
      <c r="B3" t="s">
        <v>71</v>
      </c>
      <c r="D3" t="s">
        <v>72</v>
      </c>
      <c r="E3" t="s">
        <v>73</v>
      </c>
      <c r="G3" t="s">
        <v>74</v>
      </c>
      <c r="I3" t="s">
        <v>75</v>
      </c>
      <c r="K3" t="s">
        <v>76</v>
      </c>
      <c r="M3" t="s">
        <v>77</v>
      </c>
      <c r="O3" t="s">
        <v>78</v>
      </c>
      <c r="Q3" t="s">
        <v>79</v>
      </c>
      <c r="R3" t="s">
        <v>80</v>
      </c>
      <c r="S3" t="s">
        <v>81</v>
      </c>
      <c r="U3" s="5" t="s">
        <v>76</v>
      </c>
    </row>
    <row r="4" spans="1:22" x14ac:dyDescent="0.25">
      <c r="A4" t="s">
        <v>82</v>
      </c>
      <c r="B4" t="s">
        <v>83</v>
      </c>
      <c r="D4" t="s">
        <v>47</v>
      </c>
      <c r="E4">
        <v>1</v>
      </c>
      <c r="G4" t="s">
        <v>84</v>
      </c>
      <c r="I4" t="s">
        <v>85</v>
      </c>
      <c r="K4" t="s">
        <v>86</v>
      </c>
      <c r="M4" t="s">
        <v>87</v>
      </c>
      <c r="O4" s="1" t="s">
        <v>88</v>
      </c>
      <c r="Q4" t="s">
        <v>32</v>
      </c>
      <c r="R4" t="s">
        <v>51</v>
      </c>
      <c r="S4" s="7"/>
      <c r="U4" t="s">
        <v>86</v>
      </c>
    </row>
    <row r="5" spans="1:22" x14ac:dyDescent="0.25">
      <c r="A5" t="s">
        <v>89</v>
      </c>
      <c r="B5" t="s">
        <v>90</v>
      </c>
      <c r="D5" t="s">
        <v>91</v>
      </c>
      <c r="E5">
        <v>2</v>
      </c>
      <c r="G5" t="s">
        <v>92</v>
      </c>
      <c r="I5" t="s">
        <v>46</v>
      </c>
      <c r="K5" t="s">
        <v>93</v>
      </c>
      <c r="M5" t="s">
        <v>94</v>
      </c>
      <c r="O5" s="1" t="s">
        <v>40</v>
      </c>
      <c r="Q5" t="s">
        <v>95</v>
      </c>
      <c r="R5" t="s">
        <v>49</v>
      </c>
      <c r="S5" s="7" t="s">
        <v>96</v>
      </c>
      <c r="U5" t="s">
        <v>93</v>
      </c>
    </row>
    <row r="6" spans="1:22" x14ac:dyDescent="0.25">
      <c r="A6" t="s">
        <v>97</v>
      </c>
      <c r="B6" t="s">
        <v>98</v>
      </c>
      <c r="G6" t="s">
        <v>44</v>
      </c>
      <c r="I6" t="s">
        <v>99</v>
      </c>
      <c r="K6" t="s">
        <v>100</v>
      </c>
      <c r="M6" t="s">
        <v>35</v>
      </c>
      <c r="O6" s="1" t="s">
        <v>101</v>
      </c>
      <c r="Q6" t="s">
        <v>102</v>
      </c>
      <c r="R6" t="s">
        <v>50</v>
      </c>
      <c r="S6" s="7" t="s">
        <v>103</v>
      </c>
      <c r="U6" t="s">
        <v>100</v>
      </c>
    </row>
    <row r="7" spans="1:22" x14ac:dyDescent="0.25">
      <c r="D7" s="2"/>
      <c r="E7" s="2"/>
      <c r="I7" t="s">
        <v>104</v>
      </c>
      <c r="K7" t="s">
        <v>41</v>
      </c>
      <c r="M7" t="s">
        <v>52</v>
      </c>
      <c r="O7" s="1" t="s">
        <v>105</v>
      </c>
      <c r="U7" t="s">
        <v>41</v>
      </c>
    </row>
    <row r="8" spans="1:22" x14ac:dyDescent="0.25">
      <c r="D8" s="2"/>
      <c r="E8" s="2"/>
      <c r="I8" t="s">
        <v>106</v>
      </c>
      <c r="O8" s="1" t="s">
        <v>107</v>
      </c>
      <c r="U8" t="s">
        <v>87</v>
      </c>
    </row>
    <row r="9" spans="1:22" x14ac:dyDescent="0.25">
      <c r="D9" s="2"/>
      <c r="E9" s="2"/>
      <c r="I9" t="s">
        <v>108</v>
      </c>
      <c r="O9" s="1" t="s">
        <v>109</v>
      </c>
      <c r="U9" t="s">
        <v>94</v>
      </c>
    </row>
    <row r="10" spans="1:22" x14ac:dyDescent="0.25">
      <c r="D10" s="2"/>
      <c r="E10" s="2"/>
      <c r="I10" t="s">
        <v>110</v>
      </c>
      <c r="U10" t="s">
        <v>35</v>
      </c>
    </row>
    <row r="11" spans="1:22" x14ac:dyDescent="0.25">
      <c r="D11" s="2"/>
      <c r="E11" s="2"/>
      <c r="U11" t="s">
        <v>52</v>
      </c>
    </row>
    <row r="12" spans="1:22" x14ac:dyDescent="0.25">
      <c r="D12" s="2"/>
      <c r="E12" s="2"/>
    </row>
    <row r="13" spans="1:22" x14ac:dyDescent="0.25">
      <c r="D13" s="2"/>
      <c r="E13" s="2"/>
    </row>
    <row r="14" spans="1:22" x14ac:dyDescent="0.25">
      <c r="D14" s="2"/>
      <c r="E14" s="2"/>
    </row>
    <row r="15" spans="1:22" x14ac:dyDescent="0.25">
      <c r="D15" s="2"/>
      <c r="E15" s="2"/>
    </row>
    <row r="16" spans="1:22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7">
    <mergeCell ref="A2:B2"/>
    <mergeCell ref="Q2:R2"/>
    <mergeCell ref="D2:E2"/>
    <mergeCell ref="D1:E1"/>
    <mergeCell ref="K2:L2"/>
    <mergeCell ref="A1:B1"/>
    <mergeCell ref="Q1:S1"/>
  </mergeCells>
  <pageMargins left="0.7" right="0.7" top="0.75" bottom="0.75" header="0.3" footer="0.3"/>
  <pageSetup orientation="portrait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Tom_48_97</dc:creator>
  <cp:lastModifiedBy>Julien Vida</cp:lastModifiedBy>
  <dcterms:created xsi:type="dcterms:W3CDTF">2024-11-14T18:58:36Z</dcterms:created>
  <dcterms:modified xsi:type="dcterms:W3CDTF">2025-09-17T21:33:26Z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