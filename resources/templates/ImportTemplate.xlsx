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Templates\"/>
    </mc:Choice>
  </mc:AlternateContent>
  <xr:revisionPtr revIDLastSave="0" documentId="13_ncr:1_{F5D59A5B-E3CC-4BE2-8CC3-FDE61B5D10DE}" xr6:coauthVersionLast="47" xr6:coauthVersionMax="47" xr10:uidLastSave="{00000000-0000-0000-0000-000000000000}"/>
  <bookViews>
    <workbookView xWindow="735" yWindow="735" windowWidth="29685" windowHeight="23445" activeTab="4" xr2:uid="{1FA076D1-0294-4A97-AB8C-3ADE2BC9CEA1}"/>
  </bookViews>
  <sheets>
    <sheet name="Dataset" sheetId="1" r:id="rId1"/>
    <sheet name="Quick Analysis" sheetId="11" r:id="rId2"/>
    <sheet name="Help" sheetId="6" r:id="rId3"/>
    <sheet name="Config - Basic" sheetId="3" r:id="rId4"/>
    <sheet name="Config - Mappings" sheetId="4" r:id="rId5"/>
    <sheet name="Config - Advanced" sheetId="5" r:id="rId6"/>
    <sheet name="Config - Factory" sheetId="9" state="hidden" r:id="rId7"/>
    <sheet name="_importMeta" sheetId="7" state="hidden" r:id="rId8"/>
    <sheet name="_ImportReport" sheetId="8" state="hidden" r:id="rId9"/>
  </sheets>
  <definedNames>
    <definedName name="cfg_labels_ft_label">'Config - Basic'!$B$6</definedName>
    <definedName name="cfg_labels_ft_name">'Config - Basic'!$B$6</definedName>
    <definedName name="cfg_labels_imported">'Config - Basic'!$B$5</definedName>
    <definedName name="cfg_projectKey">'Config - Basic'!$B$4</definedName>
    <definedName name="cfg_type_comment">'Config - Factory'!$I$4</definedName>
    <definedName name="cfg_type_note">'Config - Factory'!$I$6</definedName>
    <definedName name="cfg_type_skip">'Config - Factory'!$I$5</definedName>
    <definedName name="cfg_type_workitem">'Config - Factory'!$I$7</definedName>
    <definedName name="CfgIssueTypeList">'Config - Factory'!$A$4:$A$24</definedName>
  </definedNames>
  <calcPr calcId="191029"/>
  <pivotCaches>
    <pivotCache cacheId="9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" i="1" l="1" a="1"/>
  <c r="C15" i="9" a="1"/>
  <c r="F3" i="1"/>
  <c r="N3" i="1"/>
  <c r="C2" i="6"/>
  <c r="A36" i="6"/>
  <c r="A35" i="6"/>
  <c r="A33" i="6"/>
  <c r="A38" i="6"/>
  <c r="A32" i="6"/>
  <c r="A30" i="6"/>
  <c r="A29" i="6"/>
  <c r="A28" i="6"/>
  <c r="A27" i="6"/>
  <c r="A26" i="6"/>
  <c r="A23" i="6"/>
  <c r="A25" i="6"/>
  <c r="D5" i="9" a="1"/>
  <c r="A4" i="9" a="1"/>
  <c r="AI2" i="1" a="1"/>
  <c r="N2" i="1"/>
  <c r="AD2" i="1" l="1"/>
  <c r="AE2" i="1"/>
  <c r="AD3" i="1"/>
  <c r="AE3" i="1"/>
  <c r="AG3" i="1"/>
  <c r="AC3" i="1"/>
  <c r="AF3" i="1"/>
  <c r="AH3" i="1" a="1"/>
  <c r="AC2" i="1"/>
  <c r="AG2" i="1"/>
  <c r="AF2" i="1"/>
  <c r="AH2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Tom_48_97</author>
  </authors>
  <commentList>
    <comment ref="A1" authorId="0" shapeId="0" xr:uid="{06BE7299-79E0-483E-B256-5A152E196E39}">
      <text>
        <r>
          <rPr>
            <sz val="9"/>
            <color indexed="81"/>
            <rFont val="Tahoma"/>
            <family val="2"/>
          </rPr>
          <t>Priority value (e.g. High, Medium, Low). Prefer CfgPriorities.</t>
        </r>
      </text>
    </comment>
    <comment ref="B1" authorId="0" shapeId="0" xr:uid="{0CFDAC5F-4827-43FD-BF87-525D7D6E6DFB}">
      <text>
        <r>
          <rPr>
            <sz val="9"/>
            <color indexed="81"/>
            <rFont val="Tahoma"/>
            <family val="2"/>
          </rPr>
          <t>Issue type (Epic, Story, Task…). Skip types like comment/note are ignored.</t>
        </r>
      </text>
    </comment>
    <comment ref="C1" authorId="0" shapeId="0" xr:uid="{8A4935B1-5A64-46B8-B917-76178C291BCB}">
      <text>
        <r>
          <rPr>
            <sz val="9"/>
            <color indexed="81"/>
            <rFont val="Tahoma"/>
            <family val="2"/>
          </rPr>
          <t>Short issue title. Required.</t>
        </r>
      </text>
    </comment>
    <comment ref="E1" authorId="0" shapeId="0" xr:uid="{12159F71-ED90-4EEC-87B7-6D32A81840C4}">
      <text>
        <r>
          <rPr>
            <sz val="9"/>
            <color indexed="81"/>
            <rFont val="Tahoma"/>
            <family val="2"/>
          </rPr>
          <t>Optional longer description.</t>
        </r>
      </text>
    </comment>
    <comment ref="F1" authorId="0" shapeId="0" xr:uid="{9C29F0D9-EEC2-4CD5-94B3-E79BFBEEBA7A}">
      <text>
        <r>
          <rPr>
            <sz val="9"/>
            <color indexed="81"/>
            <rFont val="Tahoma"/>
            <family val="2"/>
          </rPr>
          <t>Release/version name. Prefer CfgFixVersions.</t>
        </r>
      </text>
    </comment>
    <comment ref="G1" authorId="0" shapeId="0" xr:uid="{D37165B4-6A0B-4DE1-BBC9-E2B87095C67A}">
      <text>
        <r>
          <rPr>
            <sz val="9"/>
            <color indexed="81"/>
            <rFont val="Tahoma"/>
            <family val="2"/>
          </rPr>
          <t>Assignee name from CfgAssignees (mapped to account ID).</t>
        </r>
      </text>
    </comment>
    <comment ref="H1" authorId="0" shapeId="0" xr:uid="{BF9D9590-454C-4556-A96A-8432D26EB0AA}">
      <text>
        <r>
          <rPr>
            <sz val="9"/>
            <color indexed="81"/>
            <rFont val="Tahoma"/>
            <family val="2"/>
          </rPr>
          <t>Component name from CfgComponents. One per cell.</t>
        </r>
      </text>
    </comment>
    <comment ref="I1" authorId="0" shapeId="0" xr:uid="{E0BF772F-400D-4779-B463-DF3B16DC24EF}">
      <text>
        <r>
          <rPr>
            <sz val="9"/>
            <color indexed="81"/>
            <rFont val="Tahoma"/>
            <family val="2"/>
          </rPr>
          <t>Sprint name from CfgSprints. Blank if unplanned.</t>
        </r>
      </text>
    </comment>
    <comment ref="J1" authorId="0" shapeId="0" xr:uid="{098743DC-80FD-4D99-8C10-F8768C499BB1}">
      <text>
        <r>
          <rPr>
            <sz val="9"/>
            <color indexed="81"/>
            <rFont val="Tahoma"/>
            <family val="2"/>
          </rPr>
          <t>Effort estimate. Blank if unknown. Format 1w 2d 4h (week=5days, day=8h)</t>
        </r>
      </text>
    </comment>
    <comment ref="K1" authorId="0" shapeId="0" xr:uid="{E6A239CC-FBE8-42B6-BE3E-9D37323CB14A}">
      <text>
        <r>
          <rPr>
            <sz val="9"/>
            <color indexed="81"/>
            <rFont val="Tahoma"/>
            <family val="2"/>
          </rPr>
          <t>Unique local ID in this file (not a Jira key). Used for links.</t>
        </r>
      </text>
    </comment>
    <comment ref="L1" authorId="0" shapeId="0" xr:uid="{B1D0971D-6639-458E-AEB8-E00BC927C14D}">
      <text>
        <r>
          <rPr>
            <sz val="9"/>
            <color indexed="81"/>
            <rFont val="Tahoma"/>
            <family val="2"/>
          </rPr>
          <t>Parent’s Issue ID in this file. Blank if top-level.</t>
        </r>
      </text>
    </comment>
    <comment ref="R1" authorId="0" shapeId="0" xr:uid="{FD454FB1-970A-43A3-8724-BF23CA54530B}">
      <text>
        <r>
          <rPr>
            <sz val="9"/>
            <color indexed="81"/>
            <rFont val="Tahoma"/>
            <family val="2"/>
          </rPr>
          <t>One label token. Use Labels1+ for more. Multiple Labels can be added in one cell, separated by semicolons (labels1; Label2)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<sst xmlns="http://schemas.openxmlformats.org/spreadsheetml/2006/main" count="258" uniqueCount="189">
  <si>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</si>
  <si>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</si>
  <si>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</si>
  <si>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</si>
  <si>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</si>
  <si>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</si>
  <si>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</si>
  <si>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</si>
  <si>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</si>
  <si>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</si>
  <si>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</si>
  <si>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</si>
  <si>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</si>
  <si>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</si>
  <si>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</si>
  <si>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</si>
  <si>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</si>
  <si>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</si>
  <si>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</si>
  <si>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</si>
  <si>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</si>
  <si>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</si>
  <si>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</si>
  <si>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</si>
  <si>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</si>
  <si>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</si>
  <si>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</si>
  <si>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</si>
  <si>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</si>
  <si>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</si>
  <si>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</si>
  <si>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</si>
  <si>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</si>
  <si>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</si>
  <si>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</si>
  <si>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</si>
  <si>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Task</t>
  </si>
  <si>
    <t>Medium</t>
  </si>
  <si>
    <t>Story</t>
  </si>
  <si>
    <t>imported</t>
  </si>
  <si>
    <t>Bug</t>
  </si>
  <si>
    <t>Epic</t>
  </si>
  <si>
    <t>RowType</t>
  </si>
  <si>
    <t>Skip</t>
  </si>
  <si>
    <t>WorkItem</t>
  </si>
  <si>
    <t>Feature Pod Label</t>
  </si>
  <si>
    <t>Highest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</si>
  <si>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</si>
  <si>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</si>
  <si>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</si>
  <si>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</si>
  <si>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</si>
  <si>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</si>
  <si>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</si>
  <si>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</si>
  <si>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Assignee.ID</t>
  </si>
  <si>
    <t>Sprint.Name</t>
  </si>
  <si>
    <t>Sprint.ID</t>
  </si>
  <si>
    <t>Priority.Name</t>
  </si>
  <si>
    <t>IssueType.Name</t>
  </si>
  <si>
    <t>Component.Name</t>
  </si>
  <si>
    <t>FixVersion.Name</t>
  </si>
  <si>
    <t>SysOps</t>
  </si>
  <si>
    <t>DevOps</t>
  </si>
  <si>
    <t>Ignore List</t>
  </si>
  <si>
    <t>IgnoreList.Name</t>
  </si>
  <si>
    <t>Assignees</t>
  </si>
  <si>
    <t>Sprints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</si>
  <si>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</si>
  <si>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</si>
  <si>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</si>
  <si>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</si>
  <si>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</si>
  <si>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</si>
  <si>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</si>
  <si>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</si>
  <si>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</si>
  <si>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</si>
  <si>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</si>
  <si>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JITTP2</t>
  </si>
  <si>
    <t>Parent</t>
  </si>
  <si>
    <t>Design</t>
  </si>
  <si>
    <t>Development</t>
  </si>
  <si>
    <t>Production</t>
  </si>
  <si>
    <t>Quality Assurance</t>
  </si>
  <si>
    <t>Quality Control</t>
  </si>
  <si>
    <t>Misc Fields</t>
  </si>
  <si>
    <t>pod_test</t>
  </si>
  <si>
    <t>High</t>
  </si>
  <si>
    <t>Sub-task</t>
  </si>
  <si>
    <t>jira.connection.site_address</t>
  </si>
  <si>
    <t>https://deerhide.atlassian.net</t>
  </si>
  <si>
    <t>app.import.auto_open_page</t>
  </si>
  <si>
    <t>yes</t>
  </si>
  <si>
    <t>jira.components_source</t>
  </si>
  <si>
    <t>jira</t>
  </si>
  <si>
    <t>Low</t>
  </si>
  <si>
    <t>Lowest</t>
  </si>
  <si>
    <t>Open the import page after processing the dataset?</t>
  </si>
  <si>
    <t>The project Key of the Jira project (mendatory for API imports</t>
  </si>
  <si>
    <t>metadata.version</t>
  </si>
  <si>
    <t>Internal Config</t>
  </si>
  <si>
    <t>Id</t>
  </si>
  <si>
    <t>Type</t>
  </si>
  <si>
    <t>Format</t>
  </si>
  <si>
    <t>Basic Configuration</t>
  </si>
  <si>
    <t>Custom Jira Fields</t>
  </si>
  <si>
    <t>skip_issuetypes</t>
  </si>
  <si>
    <t xml:space="preserve">CfgAutofieldValues </t>
  </si>
  <si>
    <t>Sheet</t>
  </si>
  <si>
    <t>Configuration</t>
  </si>
  <si>
    <t>Config - Basic</t>
  </si>
  <si>
    <t>Everyday project settings used during import. Start here before the other config sheets.</t>
  </si>
  <si>
    <t>Config - Mappings</t>
  </si>
  <si>
    <t>Reference lists that match spreadsheet values to valid Jira options.</t>
  </si>
  <si>
    <t>Maps sprint names to Jira sprint IDs.</t>
  </si>
  <si>
    <t>Config - Advanced</t>
  </si>
  <si>
    <t>Key/value settings for connection and import behavior.</t>
  </si>
  <si>
    <t>Workbook helper name (not read by the app). Used for Excel formulas and validation.</t>
  </si>
  <si>
    <t>Defines custom Jira fields used by extra dataset columns.</t>
  </si>
  <si>
    <t>Config - Factory</t>
  </si>
  <si>
    <t>Main app settings, such as config version and skip rules. Use columns Name and Value.</t>
  </si>
  <si>
    <t>Default values applied automatically when a field is empty. Use columns Name and Value.</t>
  </si>
  <si>
    <t>Auto-generated configuration area. Contains system tables and defaults—do not modify manually.</t>
  </si>
  <si>
    <t>Generated dropdown source for the dataset. Combines allowed issue types and skip/note types from CfgIssueTypes + CfgIgnoreList.</t>
  </si>
  <si>
    <t>Table</t>
  </si>
  <si>
    <t>List</t>
  </si>
  <si>
    <t>Basic key/value settings for the project (for example: project key, import labels, site address).</t>
  </si>
  <si>
    <t>Lists fix versions allowed in the import.</t>
  </si>
  <si>
    <t>Lists issue types allowed in the import.</t>
  </si>
  <si>
    <t>Lists components allowed in the import.</t>
  </si>
  <si>
    <t>Lists priorities allowed in the import.</t>
  </si>
  <si>
    <t xml:space="preserve"> </t>
  </si>
  <si>
    <t>jira.project.key</t>
  </si>
  <si>
    <t xml:space="preserve">Jira Toolkit: Importer 🚀 </t>
  </si>
  <si>
    <t>Notes</t>
  </si>
  <si>
    <t>Sources</t>
  </si>
  <si>
    <t>Documentation</t>
  </si>
  <si>
    <t>https://github.com/DeerHide/jira-toolkit</t>
  </si>
  <si>
    <t>https://github.com/DeerHide/jira-toolkit/blob/main/README.md</t>
  </si>
  <si>
    <t>Releases</t>
  </si>
  <si>
    <t>https://github.com/DeerHide/jira-toolkit/releases</t>
  </si>
  <si>
    <t xml:space="preserve">License </t>
  </si>
  <si>
    <t>MIT License</t>
  </si>
  <si>
    <t>Author(s)</t>
  </si>
  <si>
    <t>https://deerhide.run</t>
  </si>
  <si>
    <t>Use Jira or Compass components</t>
  </si>
  <si>
    <t>Row Labels</t>
  </si>
  <si>
    <t>Grand Total</t>
  </si>
  <si>
    <t>(blank)</t>
  </si>
  <si>
    <t>Count</t>
  </si>
  <si>
    <t>FixVersion/Sprint/Type</t>
  </si>
  <si>
    <t>(All)</t>
  </si>
  <si>
    <t>Type/Assignee</t>
  </si>
  <si>
    <t>Maps friendly assignee names to Jira user IDs. DC installs use email addresses.</t>
  </si>
  <si>
    <t>joe.grunt</t>
  </si>
  <si>
    <t>john.doe</t>
  </si>
  <si>
    <t>jane.smith</t>
  </si>
  <si>
    <t>Alice A</t>
  </si>
  <si>
    <t>Bob B</t>
  </si>
  <si>
    <t>712020:09876543212345678901</t>
  </si>
  <si>
    <t>712020:09876543212345678902</t>
  </si>
  <si>
    <t>712020:09876543212345678903</t>
  </si>
  <si>
    <t>712020:09876543212345678904</t>
  </si>
  <si>
    <t>712020:09876543212345678905</t>
  </si>
  <si>
    <t>JITTP Version 1</t>
  </si>
  <si>
    <t>JITTP_Sprint_48</t>
  </si>
  <si>
    <t>First Work Item</t>
  </si>
  <si>
    <t>1w 2d 3h</t>
  </si>
  <si>
    <t>First Label</t>
  </si>
  <si>
    <t>Second Label; Third Label</t>
  </si>
  <si>
    <t>Another Label</t>
  </si>
  <si>
    <t>Computed Config</t>
  </si>
  <si>
    <t>Combined parameters from CfgBasic, CfgAdvanced, CfgAutofieldValues (not authoritative)</t>
  </si>
  <si>
    <t>FAQ</t>
  </si>
  <si>
    <t>Why does the conditional formatting look off? (row formatting)</t>
  </si>
  <si>
    <t>In excel, moving, copying/pasting rows can break the conditional formatting. This can be fixed by using the format painter using the first row as reference.</t>
  </si>
  <si>
    <t>All field from the Data Validation report #REF</t>
  </si>
  <si>
    <t>This can happen when the file gets exported from Gsheet. Best course of action is to redo an export to fix the table and range names.</t>
  </si>
  <si>
    <t>Advanced settings, custom fields, and special import behavior. Also contains build-specific settings.</t>
  </si>
  <si>
    <t>Teams</t>
  </si>
  <si>
    <t>Team.Name</t>
  </si>
  <si>
    <t>Team.ID</t>
  </si>
  <si>
    <t>IssueType.Level</t>
  </si>
  <si>
    <t>Misc Configuration</t>
  </si>
  <si>
    <t>Parameters only used by the Template</t>
  </si>
  <si>
    <t>Work Group</t>
  </si>
  <si>
    <t>DO NOT DELETE, IT'S USED FOR THE CALCULATED COLUMNS AND AS REFERENCE IN CASE OF MISSING FORMULA</t>
  </si>
  <si>
    <t>This sheet is ignored by the importer, it can contain anything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</si>
</sst>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21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15" fillId="0" borderId="0" xfId="16" applyAlignment="1">
      <alignment horizontal="center" shrinkToFit="1"/>
    </xf>
    <xf numFmtId="0" fontId="16" fillId="24" borderId="0" xfId="33" applyFont="1"/>
    <xf numFmtId="0" fontId="21" fillId="0" borderId="0" xfId="42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right" inden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  <xf numFmtId="0" fontId="15" fillId="0" borderId="0" xfId="16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8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alignment horizontal="general" vertical="bottom" textRotation="0" wrapText="0" indent="0" justifyLastLine="0" shrinkToFit="1" readingOrder="0"/>
    </dxf>
    <dxf>
      <numFmt numFmtId="30" formatCode="@"/>
    </dxf>
    <dxf>
      <alignment horizontal="general" vertical="bottom" textRotation="0" wrapText="0" indent="0" justifyLastLine="0" shrinkToFit="1" readingOrder="0"/>
    </dxf>
    <dxf>
      <alignment horizontal="general" vertical="bottom" textRotation="0" wrapText="0" indent="0" justifyLastLine="0" shrinkToFit="1" readingOrder="0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0" formatCode="General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3" tableId="1"/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_48_97" refreshedDate="46243.043627314815" createdVersion="8" refreshedVersion="8" minRefreshableVersion="3" recordCount="2" xr:uid="{F8F75E99-BF0A-4DC5-B6C9-3A036049D8C1}">
  <cacheSource type="worksheet">
    <worksheetSource name="JiraDataset"/>
  </cacheSource>
  <cacheFields count="36">
    <cacheField name="Priority" numFmtId="0">
      <sharedItems containsBlank="1"/>
    </cacheField>
    <cacheField name="IssueType" numFmtId="0">
      <sharedItems count="5">
        <s v="Note"/>
        <s v="Epic"/>
        <s v="Story" u="1"/>
        <s v="Sub-task" u="1"/>
        <s v="Task" u="1"/>
      </sharedItems>
    </cacheField>
    <cacheField name="Summary" numFmtId="0">
      <sharedItems/>
    </cacheField>
    <cacheField name="Issue Key" numFmtId="0">
      <sharedItems containsNonDate="0" containsString="0" containsBlank="1"/>
    </cacheField>
    <cacheField name="Description" numFmtId="0">
      <sharedItems containsBlank="1"/>
    </cacheField>
    <cacheField name="FixVersion" numFmtId="0">
      <sharedItems containsBlank="1" count="2">
        <m/>
        <s v="JITTP Version 1"/>
      </sharedItems>
    </cacheField>
    <cacheField name="Assignee.Name" numFmtId="0">
      <sharedItems containsBlank="1" count="2">
        <m/>
        <s v="joe.grunt"/>
      </sharedItems>
    </cacheField>
    <cacheField name="Component" numFmtId="0">
      <sharedItems containsBlank="1"/>
    </cacheField>
    <cacheField name="Sprint Name" numFmtId="0">
      <sharedItems containsBlank="1" count="2">
        <m/>
        <s v="JITTP_Sprint_48"/>
      </sharedItems>
    </cacheField>
    <cacheField name="Estimate" numFmtId="0">
      <sharedItems containsBlank="1"/>
    </cacheField>
    <cacheField name="Issue ID" numFmtId="0">
      <sharedItems containsNonDate="0" containsString="0" containsBlank="1"/>
    </cacheField>
    <cacheField name="Parent" numFmtId="0">
      <sharedItems containsNonDate="0" containsString="0" containsBlank="1"/>
    </cacheField>
    <cacheField name="Epic Link" numFmtId="0">
      <sharedItems containsNonDate="0" containsString="0" containsBlank="1"/>
    </cacheField>
    <cacheField name="Epic Name" numFmtId="0">
      <sharedItems/>
    </cacheField>
    <cacheField name="Child-Issue" numFmtId="0">
      <sharedItems containsNonDate="0" containsString="0" containsBlank="1"/>
    </cacheField>
    <cacheField name="Child-Issue1" numFmtId="0">
      <sharedItems containsNonDate="0" containsString="0" containsBlank="1"/>
    </cacheField>
    <cacheField name="Child-Issue2" numFmtId="0">
      <sharedItems containsNonDate="0" containsString="0" containsBlank="1"/>
    </cacheField>
    <cacheField name="Labels" numFmtId="0">
      <sharedItems containsBlank="1"/>
    </cacheField>
    <cacheField name="Labels1" numFmtId="0">
      <sharedItems containsBlank="1"/>
    </cacheField>
    <cacheField name="Labels2" numFmtId="0">
      <sharedItems containsBlank="1"/>
    </cacheField>
    <cacheField name="Labels3" numFmtId="0">
      <sharedItems containsNonDate="0" containsString="0" containsBlank="1"/>
    </cacheField>
    <cacheField name="Labels4" numFmtId="0">
      <sharedItems containsNonDate="0" containsString="0" containsBlank="1"/>
    </cacheField>
    <cacheField name="Labels5" numFmtId="0">
      <sharedItems containsNonDate="0" containsString="0" containsBlank="1"/>
    </cacheField>
    <cacheField name="Labels6" numFmtId="0">
      <sharedItems containsNonDate="0" containsString="0" containsBlank="1"/>
    </cacheField>
    <cacheField name="Labels7" numFmtId="0">
      <sharedItems containsNonDate="0" containsString="0" containsBlank="1"/>
    </cacheField>
    <cacheField name="Labels8" numFmtId="0">
      <sharedItems containsNonDate="0" containsString="0" containsBlank="1"/>
    </cacheField>
    <cacheField name="Labels9" numFmtId="0">
      <sharedItems containsNonDate="0" containsString="0" containsBlank="1"/>
    </cacheField>
    <cacheField name="Labels10" numFmtId="0">
      <sharedItems containsNonDate="0" containsString="0" containsBlank="1"/>
    </cacheField>
    <cacheField name="Sprint" numFmtId="0">
      <sharedItems containsMixedTypes="1" containsNumber="1" containsInteger="1" minValue="97" maxValue="97"/>
    </cacheField>
    <cacheField name="Labels0001" numFmtId="0">
      <sharedItems/>
    </cacheField>
    <cacheField name="Labels0002" numFmtId="0">
      <sharedItems/>
    </cacheField>
    <cacheField name="Assignee" numFmtId="0">
      <sharedItems/>
    </cacheField>
    <cacheField name="Project Key" numFmtId="0">
      <sharedItems/>
    </cacheField>
    <cacheField name="OrigEst" numFmtId="0">
      <sharedItems containsMixedTypes="1" containsNumber="1" containsInteger="1" minValue="12744000" maxValue="12744000"/>
    </cacheField>
    <cacheField name="RowType" numFmtId="0">
      <sharedItems/>
    </cacheField>
    <cacheField name="Not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m/>
    <x v="0"/>
    <s v="FORMULA HOLDER"/>
    <m/>
    <s v="DO NOT DELETE, IT'S USED FOR THE CALCULATED COLUMNS AND AS REFERENCE IN CASE OF MISSING FORMULA"/>
    <x v="0"/>
    <x v="0"/>
    <m/>
    <x v="0"/>
    <m/>
    <m/>
    <m/>
    <m/>
    <s v=""/>
    <m/>
    <m/>
    <m/>
    <m/>
    <m/>
    <m/>
    <m/>
    <m/>
    <m/>
    <m/>
    <m/>
    <m/>
    <m/>
    <m/>
    <s v=""/>
    <s v=""/>
    <s v=""/>
    <s v=""/>
    <s v=""/>
    <s v=""/>
    <s v="SKIP"/>
    <m/>
  </r>
  <r>
    <s v="Highest"/>
    <x v="1"/>
    <s v="First Work Item"/>
    <m/>
    <m/>
    <x v="1"/>
    <x v="1"/>
    <s v="Development"/>
    <x v="1"/>
    <s v="1w 2d 3h"/>
    <m/>
    <m/>
    <m/>
    <s v="First Work Item"/>
    <m/>
    <m/>
    <m/>
    <s v="First Label"/>
    <s v="Second Label; Third Label"/>
    <s v="Another Label"/>
    <m/>
    <m/>
    <m/>
    <m/>
    <m/>
    <m/>
    <m/>
    <m/>
    <n v="97"/>
    <s v="imported"/>
    <s v="pod_test"/>
    <s v="712020:09876543212345678901"/>
    <s v="JITTP2"/>
    <n v="12744000"/>
    <s v="WorkItem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26BD75-A09D-4578-BB55-882D1F75C66E}" name="PT_Issues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12" firstHeaderRow="1" firstDataRow="1" firstDataCol="1"/>
  <pivotFields count="36">
    <pivotField showAll="0"/>
    <pivotField axis="axisRow" showAll="0">
      <items count="6">
        <item x="1"/>
        <item x="0"/>
        <item m="1" x="2"/>
        <item m="1" x="3"/>
        <item m="1" x="4"/>
        <item t="default"/>
      </items>
    </pivotField>
    <pivotField dataField="1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5"/>
    <field x="8"/>
    <field x="1"/>
  </rowFields>
  <rowItems count="7">
    <i>
      <x/>
    </i>
    <i r="1">
      <x/>
    </i>
    <i r="2">
      <x v="1"/>
    </i>
    <i>
      <x v="1"/>
    </i>
    <i r="1">
      <x v="1"/>
    </i>
    <i r="2">
      <x/>
    </i>
    <i t="grand">
      <x/>
    </i>
  </rowItems>
  <colItems count="1">
    <i/>
  </colItems>
  <dataFields count="1">
    <dataField name="Count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31C4D6-0F40-4FC0-8FE0-7829E37288EB}" name="PT_Assignees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D5:E10" firstHeaderRow="1" firstDataRow="1" firstDataCol="1" rowPageCount="1" colPageCount="1"/>
  <pivotFields count="36">
    <pivotField showAll="0"/>
    <pivotField axis="axisRow" showAll="0">
      <items count="6">
        <item x="1"/>
        <item x="0"/>
        <item m="1" x="2"/>
        <item m="1" x="3"/>
        <item m="1" x="4"/>
        <item t="default"/>
      </items>
    </pivotField>
    <pivotField dataField="1" showAll="0"/>
    <pivotField showAll="0"/>
    <pivotField showAll="0"/>
    <pivotField axis="axisPage" showAll="0">
      <items count="3">
        <item x="0"/>
        <item x="1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6"/>
  </rowFields>
  <rowItems count="5">
    <i>
      <x/>
    </i>
    <i r="1">
      <x v="1"/>
    </i>
    <i>
      <x v="1"/>
    </i>
    <i r="1">
      <x/>
    </i>
    <i t="grand">
      <x/>
    </i>
  </rowItems>
  <colItems count="1">
    <i/>
  </colItems>
  <pageFields count="1">
    <pageField fld="5" hier="-1"/>
  </pageFields>
  <dataFields count="1">
    <dataField name="Count" fld="2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6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3" totalsRowShown="0" headerRowDxfId="57" dataDxfId="56">
  <autoFilter ref="A1:AJ3" xr:uid="{933FCFD5-1AB1-4076-B5DD-E2B69F5EB3F2}"/>
  <tableColumns count="36">
    <tableColumn id="3" xr3:uid="{AF2EC907-349C-4651-852D-6E39C61E17FF}" name="Priority" dataDxfId="55"/>
    <tableColumn id="2" xr3:uid="{E90C51F2-4386-421F-A3E4-E2CA9D43D396}" name="IssueType" dataDxfId="54"/>
    <tableColumn id="1" xr3:uid="{BBAD373B-BA13-47E4-9F74-565F4D9E9680}" name="Summary" dataDxfId="53"/>
    <tableColumn id="4" xr3:uid="{026E5B97-FAFC-4E46-860E-0B0C976B1148}" name="Issue Key" dataDxfId="52"/>
    <tableColumn id="5" xr3:uid="{A2C262E8-D544-4669-99F1-151EDE081654}" name="Description" dataDxfId="51"/>
    <tableColumn id="7" xr3:uid="{0FAD1ACC-432E-462C-8B89-71540710BCB5}" name="FixVersion" dataDxfId="50">
      <calculatedColumnFormula>'Config - Mappings'!$J$4</calculatedColumnFormula>
    </tableColumn>
    <tableColumn id="28" xr3:uid="{07F3030C-7187-4B16-BBDB-798304851975}" name="Assignee.Name" dataDxfId="49"/>
    <tableColumn id="8" xr3:uid="{8C7FB8DB-A85B-4189-93D8-0F0D4EEEF81B}" name="Component" dataDxfId="48"/>
    <tableColumn id="9" xr3:uid="{DC5101A8-1204-44D2-BC2C-FEE1A4EFE7C1}" name="Sprint Name" dataDxfId="47"/>
    <tableColumn id="40" xr3:uid="{1F406792-7ED2-4476-8FF4-4C6ABA231C97}" name="Estimate" dataDxfId="46"/>
    <tableColumn id="10" xr3:uid="{70B7C471-B624-430B-8992-4711F27BB17E}" name="Issue ID" dataDxfId="45"/>
    <tableColumn id="30" xr3:uid="{938D6CA2-8309-4146-9B62-E8CDFAB7B1C9}" name="Parent" dataDxfId="44"/>
    <tableColumn id="11" xr3:uid="{594BD56F-7D1D-408F-BEDC-6BB9854C71A1}" name="Epic Link" dataDxfId="43"/>
    <tableColumn id="33" xr3:uid="{3A94D4B2-1A5B-4BBF-B398-E56D2BB7F948}" name="Epic Name" dataDxfId="42">
      <calculatedColumnFormula>IF(JiraDataset[[#This Row],[IssueType]]="Epic",JiraDataset[[#This Row],[Summary]],"")</calculatedColumnFormula>
    </tableColumn>
    <tableColumn id="27" xr3:uid="{911C8FDC-5528-43FC-BDF4-D4761F03C0E5}" name="Child-Issue" dataDxfId="41"/>
    <tableColumn id="41" xr3:uid="{AB248E07-9BFA-42CC-BC41-B4234F677BFB}" name="Child-Issue1" dataDxfId="40"/>
    <tableColumn id="29" xr3:uid="{89D12135-F3E3-4253-844F-1B9A54169953}" name="Child-Issue2" dataDxfId="39"/>
    <tableColumn id="12" xr3:uid="{0699B70E-673B-4238-8A66-12FC943A4812}" name="Labels" dataDxfId="38"/>
    <tableColumn id="13" xr3:uid="{9840B81F-2CA6-4708-8C93-3E7C8F72A676}" name="Labels1" dataDxfId="37"/>
    <tableColumn id="14" xr3:uid="{D4A99C0B-46B7-484A-842E-D62E9D5D9341}" name="Labels2" dataDxfId="36"/>
    <tableColumn id="15" xr3:uid="{1D1C275E-5C65-4393-9663-6C5F617591E1}" name="Labels3" dataDxfId="35"/>
    <tableColumn id="16" xr3:uid="{D823FA91-7106-42D3-9DBC-B337C509EB09}" name="Labels4" dataDxfId="34"/>
    <tableColumn id="17" xr3:uid="{05A07F85-1763-4A66-9CBB-4A760BD03D27}" name="Labels5" dataDxfId="33"/>
    <tableColumn id="18" xr3:uid="{16B98070-7F8A-4FC7-AD99-EA81D0BD26AB}" name="Labels6" dataDxfId="32"/>
    <tableColumn id="19" xr3:uid="{016EAEF4-8EA9-408B-9F1A-ECFB17E81C77}" name="Labels7" dataDxfId="31"/>
    <tableColumn id="26" xr3:uid="{8263F9EC-BF0A-46F7-BA83-6083A4262B91}" name="Labels8" dataDxfId="30"/>
    <tableColumn id="20" xr3:uid="{389B11C5-1B22-48C0-BCA2-72F050425FA1}" name="Labels9" dataDxfId="29"/>
    <tableColumn id="25" xr3:uid="{AE95F8A2-F7F0-4985-9AE6-4201B9792775}" name="Labels10" dataDxfId="28"/>
    <tableColumn id="21" xr3:uid="{105F2D0F-70C1-4517-A55F-4C1DDFE85301}" name="Sprint" dataDxfId="27">
      <calculatedColumnFormula>IF(JiraDataset[[#This Row],[RowType]]=cfg_type_skip,"",IFERROR(VLOOKUP(JiraDataset[[#This Row],[Sprint Name]], 'Config - Mappings'!$G$4:$H$8, 2, FALSE), ""))</calculatedColumnFormula>
    </tableColumn>
    <tableColumn id="22" xr3:uid="{D5984986-D838-4F87-A554-5DC4CA005452}" name="Labels0001" dataDxfId="26">
      <calculatedColumnFormula>IF(JiraDataset[[#This Row],[RowType]]=cfg_type_skip,"",_xlfn.XLOOKUP("Creation Marker", CfgMisc[Name], CfgMisc[Value],"",1))</calculatedColumnFormula>
    </tableColumn>
    <tableColumn id="39" xr3:uid="{C24E9ADD-96A8-4DBB-86A0-08D41975D750}" name="Labels0002" dataDxfId="25">
      <calculatedColumnFormula>IF(JiraDataset[[#This Row],[RowType]]=cfg_type_skip,"",_xlfn.XLOOKUP("Work Group", CfgMisc[Name], CfgMisc[Value],"",1))</calculatedColumnFormula>
    </tableColumn>
    <tableColumn id="6" xr3:uid="{A6D8D5A6-43EE-415C-80C1-30372C7FE5BF}" name="Assignee" dataDxfId="24">
      <calculatedColumnFormula>IF(JiraDataset[[#This Row],[RowType]]=cfg_type_skip,"",IFERROR(VLOOKUP(JiraDataset[[#This Row],[Assignee.Name]], 'Config - Mappings'!$A$4:$B$26, 2, FALSE), ""))</calculatedColumnFormula>
    </tableColumn>
    <tableColumn id="23" xr3:uid="{51D4B5F4-C6D3-4EEC-8B1B-7BEC6E526A64}" name="Project Key" dataDxfId="23">
      <calculatedColumnFormula>IF(JiraDataset[[#This Row],[RowType]]=cfg_type_skip,"",_xlfn.XLOOKUP("jira.project.key", CfgBasic[Name], CfgBasic[Value]))</calculatedColumnFormula>
    </tableColumn>
    <tableColumn id="42" xr3:uid="{82B78F0D-CAEF-4615-B12A-B15ACF33913C}" name="OrigEst" dataDxfId="22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21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20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CF7FAD4-D3B7-4562-A661-5D91C2A8A1B9}" name="HelpConfigIndex" displayName="HelpConfigIndex" ref="A21:C38">
  <autoFilter ref="A21:C38" xr:uid="{4CF7FAD4-D3B7-4562-A661-5D91C2A8A1B9}"/>
  <tableColumns count="3">
    <tableColumn id="1" xr3:uid="{D57202B0-DF85-4C24-A339-6F865B1E0500}" name="Name" totalsRowLabel="Total"/>
    <tableColumn id="2" xr3:uid="{AE7AA29C-DBC5-4399-93DC-D9BC940551D6}" name="Type"/>
    <tableColumn id="3" xr3:uid="{6EDE763F-199E-4DE0-A35C-CA4CA3FC9978}" name="Description" totalsRowFunction="count"/>
  </tableColumns>
  <tableStyleInfo name="TableStyleMedium5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Basic" displayName="CfgBasic" ref="A3:C7" totalsRowShown="0">
  <autoFilter ref="A3:C7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Note" dataDxfId="19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8150C2B-D36B-4921-9D4F-3DB5102443F4}" name="CfgMisc" displayName="CfgMisc" ref="E3:G5" totalsRowShown="0">
  <autoFilter ref="E3:G5" xr:uid="{38150C2B-D36B-4921-9D4F-3DB5102443F4}"/>
  <tableColumns count="3">
    <tableColumn id="1" xr3:uid="{19232286-858A-4316-B524-2259E904D535}" name="Name"/>
    <tableColumn id="2" xr3:uid="{E6137B31-22A5-4579-8A81-0FBB4015A668}" name="Value"/>
    <tableColumn id="3" xr3:uid="{03DA91C8-48E1-4BFC-B993-8C1071BAA534}" name="Note" dataDxfId="1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9" totalsRowShown="0">
  <autoFilter ref="A3:B9" xr:uid="{1EF5833D-4918-4C71-A990-1B275126361D}"/>
  <tableColumns count="2">
    <tableColumn id="1" xr3:uid="{7F7B4E10-E51C-443F-875D-3E6A9FD9994C}" name="A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G3:H5" totalsRowShown="0">
  <autoFilter ref="G3:H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J22:J30" totalsRowShown="0">
  <autoFilter ref="J22:J30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J3:J5" totalsRowShown="0">
  <autoFilter ref="J3:J5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L3:M8" totalsRowShown="0">
  <autoFilter ref="L3:M8" xr:uid="{6F085B8C-1322-4F43-A516-588923936259}"/>
  <tableColumns count="2">
    <tableColumn id="1" xr3:uid="{A92436BC-3156-493F-B5C6-0BB6B51F89EB}" name="IssueType.Name"/>
    <tableColumn id="2" xr3:uid="{0145674E-DAAD-43B8-B2CC-5CA416CFAC15}" name="IssueType.Level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L22:L28" totalsRowShown="0">
  <autoFilter ref="L22:L28" xr:uid="{A6C0EE44-3F60-4588-BF11-75C3DD021846}"/>
  <tableColumns count="1">
    <tableColumn id="1" xr3:uid="{3B3BE2ED-38C4-410B-B0BF-4A9BD9B4B974}" name="Priority.Name" dataDxfId="17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352608-207B-4EFC-9BD3-2BD6976D373F}" name="CfgTeams" displayName="CfgTeams" ref="D3:E9" totalsRowShown="0">
  <autoFilter ref="D3:E9" xr:uid="{DE352608-207B-4EFC-9BD3-2BD6976D373F}"/>
  <tableColumns count="2">
    <tableColumn id="1" xr3:uid="{59E7B951-2640-4BEF-926D-11574E54F447}" name="Team.Name"/>
    <tableColumn id="2" xr3:uid="{1C40E406-7D3C-45A3-AAA3-B5BBB7E9C3AA}" name="Team.ID"/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1F57F46-4709-4A78-8D88-CD75C743FE14}" name="CfgCustomFields" displayName="CfgCustomFields" ref="E3:H4" insertRow="1" totalsRowShown="0">
  <autoFilter ref="E3:H4" xr:uid="{71F57F46-4709-4A78-8D88-CD75C743FE14}"/>
  <tableColumns count="4">
    <tableColumn id="1" xr3:uid="{4E62A8D1-901A-4C3B-920B-726A6F2C172C}" name="Name"/>
    <tableColumn id="2" xr3:uid="{F3AA6FE2-2D0B-4D90-9B62-6DA6E107F572}" name="Id"/>
    <tableColumn id="3" xr3:uid="{03E85F79-E545-4DE1-BB57-78DD4C204950}" name="Type"/>
    <tableColumn id="4" xr3:uid="{0DFFBB93-31B4-4A07-8E68-6E8B5459921F}" name="Format"/>
  </tableColumns>
  <tableStyleInfo name="TableStyleMedium5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D9702EA-2B70-48D5-9751-0E7EE797E8EA}" name="CfgAdvanced" displayName="CfgAdvanced" ref="A3:C5" totalsRowShown="0">
  <autoFilter ref="A3:C5" xr:uid="{9D9702EA-2B70-48D5-9751-0E7EE797E8EA}"/>
  <tableColumns count="3">
    <tableColumn id="1" xr3:uid="{724752C0-2EB0-4307-9766-E95D142383BC}" name="Name"/>
    <tableColumn id="2" xr3:uid="{1B4D7FE1-60C9-4319-8B9F-E66C19764AEE}" name="Value"/>
    <tableColumn id="3" xr3:uid="{F0634D25-384E-480B-B675-9F8463C0D844}" name="Note" dataDxfId="16"/>
  </tableColumns>
  <tableStyleInfo name="TableStyleMedium5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0005E3D-BA9F-4D26-A56C-4151B34975FF}" name="CfgSettings" displayName="CfgSettings" ref="C3:D5" totalsRowShown="0">
  <autoFilter ref="C3:D5" xr:uid="{90005E3D-BA9F-4D26-A56C-4151B34975FF}"/>
  <tableColumns count="2">
    <tableColumn id="1" xr3:uid="{E0096D15-ADBC-421F-B3CE-D2623A82607B}" name="Name"/>
    <tableColumn id="2" xr3:uid="{2D5340B8-2BBA-4246-AFA3-AEAEB82E86E7}" name="Value"/>
  </tableColumns>
  <tableStyleInfo name="TableStyleMedium5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14BC62-4B02-455C-8FA9-EA9D419E6479}" name="CfgAutofieldValues" displayName="CfgAutofieldValues" ref="F3:G4" totalsRowShown="0">
  <autoFilter ref="F3:G4" xr:uid="{6414BC62-4B02-455C-8FA9-EA9D419E6479}"/>
  <tableColumns count="2">
    <tableColumn id="1" xr3:uid="{205AB52C-1011-4041-96AB-F899A16B0898}" name="Name"/>
    <tableColumn id="2" xr3:uid="{83DA461F-6B03-42DB-A279-D09FE4A49A5E}" name="Value"/>
  </tableColumns>
  <tableStyleInfo name="TableStyleMedium5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I3:I7" totalsRowShown="0">
  <autoFilter ref="I3:I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DeerHide/jira-toolkit?tab=MIT-1-ov-file" TargetMode="External"/><Relationship Id="rId2" Type="http://schemas.openxmlformats.org/officeDocument/2006/relationships/hyperlink" Target="https://github.com/DeerHide/jira-toolkit" TargetMode="External"/><Relationship Id="rId1" Type="http://schemas.openxmlformats.org/officeDocument/2006/relationships/hyperlink" Target="https://github.com/DeerHide/jira-toolkit/blob/main/README.md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deerhide.run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sheetPr>
    <tabColor theme="4"/>
  </sheetPr>
  <dimension ref="A1:AL3"/>
  <sheetViews>
    <sheetView showGridLines="0" workbookViewId="0">
      <selection activeCell="H6" sqref="H6"/>
    </sheetView>
  </sheetViews>
  <sheetFormatPr defaultRowHeight="15" outlineLevelCol="1" x14ac:dyDescent="0.25"/>
  <cols>
    <col min="1" max="2" width="12.42578125" bestFit="1" customWidth="1"/>
    <col min="3" max="3" width="31.7109375" customWidth="1"/>
    <col min="4" max="4" width="26.42578125" hidden="1" customWidth="1"/>
    <col min="5" max="5" width="39.42578125" customWidth="1"/>
    <col min="6" max="6" width="14.28515625" customWidth="1"/>
    <col min="7" max="7" width="17.42578125" bestFit="1" customWidth="1"/>
    <col min="8" max="8" width="22.5703125" customWidth="1"/>
    <col min="9" max="9" width="16.42578125" customWidth="1"/>
    <col min="10" max="11" width="14.42578125" bestFit="1" customWidth="1"/>
    <col min="12" max="12" width="14.28515625" customWidth="1"/>
    <col min="13" max="13" width="14.42578125" customWidth="1"/>
    <col min="14" max="14" width="14.28515625" customWidth="1"/>
    <col min="15" max="15" width="0" hidden="1" customWidth="1"/>
    <col min="16" max="16" width="22.28515625" hidden="1" customWidth="1"/>
    <col min="17" max="17" width="12.85546875" hidden="1" customWidth="1"/>
    <col min="18" max="24" width="14.28515625" customWidth="1"/>
    <col min="25" max="28" width="14.28515625" hidden="1" customWidth="1" outlineLevel="1"/>
    <col min="29" max="30" width="10" hidden="1" customWidth="1" outlineLevel="1"/>
    <col min="31" max="31" width="10" customWidth="1" collapsed="1"/>
    <col min="32" max="32" width="28.140625" hidden="1" customWidth="1" outlineLevel="1"/>
    <col min="33" max="33" width="15.85546875" hidden="1" customWidth="1" outlineLevel="1"/>
    <col min="34" max="34" width="14" hidden="1" customWidth="1" outlineLevel="1"/>
    <col min="35" max="35" width="12.5703125" hidden="1" customWidth="1" outlineLevel="1"/>
    <col min="36" max="37" width="13.7109375" hidden="1" customWidth="1" outlineLevel="1"/>
    <col min="38" max="38" width="36.5703125" bestFit="1" customWidth="1" collapsed="1"/>
    <col min="40" max="40" width="18.7109375" customWidth="1"/>
    <col min="41" max="41" width="87.28515625" customWidth="1"/>
  </cols>
  <sheetData>
    <row r="1" spans="1:36" x14ac:dyDescent="0.25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80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42</v>
      </c>
      <c r="AJ1" s="3" t="s">
        <v>33</v>
      </c>
    </row>
    <row r="2" spans="1:36" x14ac:dyDescent="0.25">
      <c r="A2" s="3"/>
      <c r="B2" s="3" t="s">
        <v>33</v>
      </c>
      <c r="C2" s="3" t="s">
        <v>35</v>
      </c>
      <c r="D2" s="3"/>
      <c r="E2" s="3" t="s">
        <v>187</v>
      </c>
      <c r="F2" s="3"/>
      <c r="G2" s="3"/>
      <c r="H2" s="3"/>
      <c r="I2" s="3"/>
      <c r="J2" s="3"/>
      <c r="K2" s="3"/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'Config - Mappings'!$G$4:$H$8, 2, FALSE), ""))</f>
        <v/>
      </c>
      <c r="AD2" s="3" t="str">
        <f>IF(JiraDataset[[#This Row],[RowType]]=cfg_type_skip,"",_xlfn.XLOOKUP("Creation Marker", CfgMisc[Name], CfgMisc[Value],"",1))</f>
        <v/>
      </c>
      <c r="AE2" s="3" t="str">
        <f>IF(JiraDataset[[#This Row],[RowType]]=cfg_type_skip,"",_xlfn.XLOOKUP("Work Group", CfgMisc[Name], CfgMisc[Value],"",1))</f>
        <v/>
      </c>
      <c r="AF2" s="3" t="str">
        <f>IF(JiraDataset[[#This Row],[RowType]]=cfg_type_skip,"",IFERROR(VLOOKUP(JiraDataset[[#This Row],[Assignee.Name]], 'Config - Mappings'!$A$4:$B$26, 2, FALSE), ""))</f>
        <v/>
      </c>
      <c r="AG2" s="3" t="str">
        <f>IF(JiraDataset[[#This Row],[RowType]]=cfg_type_skip,"",_xlfn.XLOOKUP("jira.project.key", CfgBasic[Name], CfgBasic[Value]))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25">
      <c r="A3" s="3" t="s">
        <v>46</v>
      </c>
      <c r="B3" s="3" t="s">
        <v>41</v>
      </c>
      <c r="C3" s="3" t="s">
        <v>167</v>
      </c>
      <c r="D3" s="3"/>
      <c r="E3" s="3"/>
      <c r="F3" s="3" t="str">
        <f>'Config - Mappings'!$J$4</f>
        <v>JITTP Version 1</v>
      </c>
      <c r="G3" s="3" t="s">
        <v>155</v>
      </c>
      <c r="H3" s="3" t="s">
        <v>82</v>
      </c>
      <c r="I3" s="3" t="s">
        <v>166</v>
      </c>
      <c r="J3" s="3" t="s">
        <v>168</v>
      </c>
      <c r="K3" s="3"/>
      <c r="L3" s="3"/>
      <c r="M3" s="3"/>
      <c r="N3" s="3" t="str">
        <f>IF(JiraDataset[[#This Row],[IssueType]]="Epic",JiraDataset[[#This Row],[Summary]],"")</f>
        <v>First Work Item</v>
      </c>
      <c r="O3" s="3"/>
      <c r="P3" s="3"/>
      <c r="Q3" s="3"/>
      <c r="R3" s="3" t="s">
        <v>169</v>
      </c>
      <c r="S3" s="3" t="s">
        <v>170</v>
      </c>
      <c r="T3" s="3" t="s">
        <v>171</v>
      </c>
      <c r="U3" s="3"/>
      <c r="V3" s="3"/>
      <c r="W3" s="3"/>
      <c r="X3" s="3"/>
      <c r="Y3" s="3"/>
      <c r="Z3" s="3"/>
      <c r="AA3" s="3"/>
      <c r="AB3" s="3"/>
      <c r="AC3" s="3">
        <f>IF(JiraDataset[[#This Row],[RowType]]=cfg_type_skip,"",IFERROR(VLOOKUP(JiraDataset[[#This Row],[Sprint Name]], 'Config - Mappings'!$G$4:$H$8, 2, FALSE), ""))</f>
        <v>97</v>
      </c>
      <c r="AD3" s="3" t="str">
        <f>IF(JiraDataset[[#This Row],[RowType]]=cfg_type_skip,"",_xlfn.XLOOKUP("Creation Marker", CfgMisc[Name], CfgMisc[Value],"",1))</f>
        <v>imported</v>
      </c>
      <c r="AE3" s="3" t="str">
        <f>IF(JiraDataset[[#This Row],[RowType]]=cfg_type_skip,"",_xlfn.XLOOKUP("Work Group", CfgMisc[Name], CfgMisc[Value],"",1))</f>
        <v>pod_test</v>
      </c>
      <c r="AF3" s="3" t="str">
        <f>IF(JiraDataset[[#This Row],[RowType]]=cfg_type_skip,"",IFERROR(VLOOKUP(JiraDataset[[#This Row],[Assignee.Name]], 'Config - Mappings'!$A$4:$B$26, 2, FALSE), ""))</f>
        <v>712020:09876543212345678901</v>
      </c>
      <c r="AG3" s="3" t="str">
        <f>IF(JiraDataset[[#This Row],[RowType]]=cfg_type_skip,"",_xlfn.XLOOKUP("jira.project.key", CfgBasic[Name], CfgBasic[Value]))</f>
        <v>JITTP2</v>
      </c>
      <c r="AH3" s="3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12744000</v>
      </c>
      <c r="AI3" s="3" t="str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" s="3"/>
    </row>
  </sheetData>
  <protectedRanges>
    <protectedRange sqref="C1:AB2 A1:A1048576 P3:AD1048576 D3:N1048576" name="User Input"/>
    <protectedRange algorithmName="SHA-512" hashValue="tpheD+JLADkhiyalt6vInlMwkILPZx4PVQN/k2vmwjOBdYUuHaXCrwtObHeFz5dJh9f853O84pZ1Rn9Ujz33+A==" saltValue="9ir5NB4CJc/69S/Eh84/mA==" spinCount="100000" sqref="AC1:AI2 AE3:AK1048576" name="Computed values"/>
  </protectedRanges>
  <phoneticPr fontId="18" type="noConversion"/>
  <conditionalFormatting sqref="A2:A3 C2:C3">
    <cfRule type="containsText" dxfId="15" priority="429" operator="containsText" text="blocker">
      <formula>NOT(ISERROR(SEARCH("blocker",A2)))</formula>
    </cfRule>
    <cfRule type="containsText" dxfId="14" priority="430" operator="containsText" text="critical">
      <formula>NOT(ISERROR(SEARCH("critical",A2)))</formula>
    </cfRule>
    <cfRule type="containsText" dxfId="13" priority="431" operator="containsText" text="High">
      <formula>NOT(ISERROR(SEARCH("High",A2)))</formula>
    </cfRule>
    <cfRule type="containsText" dxfId="12" priority="432" operator="containsText" text="Medium">
      <formula>NOT(ISERROR(SEARCH("Medium",A2)))</formula>
    </cfRule>
  </conditionalFormatting>
  <conditionalFormatting sqref="A2:A3">
    <cfRule type="containsBlanks" dxfId="11" priority="493">
      <formula>LEN(TRIM(A2))=0</formula>
    </cfRule>
  </conditionalFormatting>
  <conditionalFormatting sqref="A2:AJ3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3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3">
    <cfRule type="expression" dxfId="3" priority="1">
      <formula>$B2="Epic"</formula>
    </cfRule>
    <cfRule type="expression" dxfId="2" priority="2">
      <formula>$B2="Story"</formula>
    </cfRule>
  </conditionalFormatting>
  <conditionalFormatting sqref="C2:C3">
    <cfRule type="containsBlanks" dxfId="1" priority="494">
      <formula>LEN(TRIM(C2))=0</formula>
    </cfRule>
  </conditionalFormatting>
  <conditionalFormatting sqref="K2:L3">
    <cfRule type="containsBlanks" dxfId="0" priority="412">
      <formula>LEN(TRIM(K2))=0</formula>
    </cfRule>
  </conditionalFormatting>
  <dataValidations xWindow="1573" yWindow="665" count="23">
    <dataValidation type="whole" allowBlank="1" showErrorMessage="1" prompt="It must be a number (integer). This reference is only used during the import process." sqref="K2:L2" xr:uid="{005E18F2-4447-4781-8F18-5A58920A4F75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ErrorMessage="1" promptTitle="Warning" prompt="Field only used for Epic Issues, so they can be referenced in Story Issues via the Epic Link field.," sqref="L2 N2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component" sqref="J2:J3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3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3" xr:uid="{2DA3EDB6-7635-4349-8860-B614B5B71275}"/>
    <dataValidation allowBlank="1" showInputMessage="1" showErrorMessage="1" promptTitle="Permissions" prompt="Updating Existing Issues requires global admin permissions" sqref="D2:D3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3" xr:uid="{16C14239-D6AA-4935-8809-57760481D8F1}">
      <formula1>1</formula1>
      <formula2>1000</formula2>
    </dataValidation>
    <dataValidation allowBlank="1" showInputMessage="1" showErrorMessage="1" error="must be a valid fixversion" promptTitle="AUTOMATIC FIELD" prompt="Do not manually edit these!" sqref="AC2:AC3 AF1:AH3" xr:uid="{893DA5FE-9FD0-4D28-BBD0-3D7AEDECEACB}"/>
    <dataValidation type="list" allowBlank="1" showInputMessage="1" showErrorMessage="1" error="must be a valid component" sqref="H2:H3" xr:uid="{65EDED96-6789-400B-B504-6BC3F5A79E70}">
      <formula1>INDIRECT("CfgComponents[Component.Name]")</formula1>
    </dataValidation>
    <dataValidation type="list" errorStyle="warning" allowBlank="1" showErrorMessage="1" error="must be a valid fixversion" sqref="G2:G3" xr:uid="{44FDC20A-8BF5-49B5-9D2C-3A1FE5A7D835}">
      <formula1>INDIRECT("CfgAssignees[Assignee.Name]")</formula1>
    </dataValidation>
    <dataValidation type="list" allowBlank="1" showInputMessage="1" showErrorMessage="1" error="must be a valid component" sqref="I2:I3" xr:uid="{A898E2E7-BC45-4B88-BA1E-4AAA377361D4}">
      <formula1>INDIRECT("CfgSprints[Sprint.Name]")</formula1>
    </dataValidation>
    <dataValidation allowBlank="1" showInputMessage="1" showErrorMessage="1" error="must be a valid fixversion" promptTitle="Creation Marker (Config Sheet)" prompt="Do not manually edit these!" sqref="AD1:AD3 AE2:AE3" xr:uid="{412C516D-E091-4DDD-9C14-C33AC653C143}"/>
    <dataValidation allowBlank="1" showInputMessage="1" showErrorMessage="1" error="must be a valid fixversion" promptTitle="Feature Pod Label (Config Sheet)" prompt="Do not manually edit these!" sqref="AE1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3" xr:uid="{5A336857-7D14-4900-8734-BED680BE5154}"/>
    <dataValidation type="list" allowBlank="1" showInputMessage="1" showErrorMessage="1" promptTitle="Issue Type" sqref="B2:B3" xr:uid="{28BF52BF-C0B0-4D22-B02F-F1408D5A055B}">
      <formula1>INDIRECT("CfgIssueTypeList")</formula1>
    </dataValidation>
    <dataValidation type="list" allowBlank="1" showInputMessage="1" showErrorMessage="1" error="must be a valid fixversion" sqref="F2:F3" xr:uid="{7708D6E2-1D6B-41D8-A9EE-0E87219BA8EA}">
      <formula1>INDIRECT("CfgFixVersions[FixVersion.Name]")</formula1>
    </dataValidation>
    <dataValidation type="list" allowBlank="1" showInputMessage="1" showErrorMessage="1" sqref="A2:A3" xr:uid="{5EEBB8D5-878D-4D0E-9267-0919B5A1B925}">
      <formula1>INDIRECT("CfgPriorities[Priority.Name]")</formula1>
    </dataValidation>
  </dataValidations>
  <pageMargins left="0.7" right="0.7" top="0.75" bottom="0.75" header="0.3" footer="0.3"/>
  <pageSetup orientation="portrait" r:id="rId1"/>
  <ignoredErrors>
    <ignoredError sqref="F2" calculatedColumn="1"/>
  </ignoredError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22041-F0A8-4316-8A34-4E1FD221500B}">
  <dimension ref="A1:E1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6.5703125" bestFit="1" customWidth="1"/>
    <col min="4" max="4" width="13.7109375" bestFit="1" customWidth="1"/>
    <col min="5" max="5" width="7" bestFit="1" customWidth="1"/>
    <col min="6" max="6" width="11.28515625" bestFit="1" customWidth="1"/>
  </cols>
  <sheetData>
    <row r="1" spans="1:5" x14ac:dyDescent="0.25">
      <c r="A1" t="s">
        <v>188</v>
      </c>
    </row>
    <row r="3" spans="1:5" x14ac:dyDescent="0.25">
      <c r="D3" s="13" t="s">
        <v>5</v>
      </c>
      <c r="E3" t="s">
        <v>152</v>
      </c>
    </row>
    <row r="4" spans="1:5" x14ac:dyDescent="0.25">
      <c r="A4" t="s">
        <v>151</v>
      </c>
      <c r="D4" t="s">
        <v>153</v>
      </c>
    </row>
    <row r="5" spans="1:5" x14ac:dyDescent="0.25">
      <c r="A5" s="13" t="s">
        <v>147</v>
      </c>
      <c r="B5" t="s">
        <v>150</v>
      </c>
      <c r="D5" s="13" t="s">
        <v>147</v>
      </c>
      <c r="E5" t="s">
        <v>150</v>
      </c>
    </row>
    <row r="6" spans="1:5" x14ac:dyDescent="0.25">
      <c r="A6" s="14" t="s">
        <v>149</v>
      </c>
      <c r="B6">
        <v>1</v>
      </c>
      <c r="D6" s="14" t="s">
        <v>41</v>
      </c>
      <c r="E6">
        <v>1</v>
      </c>
    </row>
    <row r="7" spans="1:5" x14ac:dyDescent="0.25">
      <c r="A7" s="15" t="s">
        <v>149</v>
      </c>
      <c r="B7">
        <v>1</v>
      </c>
      <c r="D7" s="15" t="s">
        <v>155</v>
      </c>
      <c r="E7">
        <v>1</v>
      </c>
    </row>
    <row r="8" spans="1:5" x14ac:dyDescent="0.25">
      <c r="A8" s="16" t="s">
        <v>33</v>
      </c>
      <c r="B8">
        <v>1</v>
      </c>
      <c r="D8" s="14" t="s">
        <v>33</v>
      </c>
      <c r="E8">
        <v>1</v>
      </c>
    </row>
    <row r="9" spans="1:5" x14ac:dyDescent="0.25">
      <c r="A9" s="14" t="s">
        <v>165</v>
      </c>
      <c r="B9">
        <v>1</v>
      </c>
      <c r="D9" s="15" t="s">
        <v>149</v>
      </c>
      <c r="E9">
        <v>1</v>
      </c>
    </row>
    <row r="10" spans="1:5" x14ac:dyDescent="0.25">
      <c r="A10" s="15" t="s">
        <v>166</v>
      </c>
      <c r="B10">
        <v>1</v>
      </c>
      <c r="D10" s="14" t="s">
        <v>148</v>
      </c>
      <c r="E10">
        <v>2</v>
      </c>
    </row>
    <row r="11" spans="1:5" x14ac:dyDescent="0.25">
      <c r="A11" s="16" t="s">
        <v>41</v>
      </c>
      <c r="B11">
        <v>1</v>
      </c>
    </row>
    <row r="12" spans="1:5" x14ac:dyDescent="0.25">
      <c r="A12" s="14" t="s">
        <v>148</v>
      </c>
      <c r="B12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119F2-1354-4FE0-BE15-5F30C578B62D}">
  <sheetPr>
    <tabColor rgb="FF7030A0"/>
  </sheetPr>
  <dimension ref="A1:C45"/>
  <sheetViews>
    <sheetView workbookViewId="0">
      <selection activeCell="C16" sqref="C16"/>
    </sheetView>
  </sheetViews>
  <sheetFormatPr defaultRowHeight="15" x14ac:dyDescent="0.25"/>
  <cols>
    <col min="1" max="1" width="21.5703125" customWidth="1"/>
    <col min="2" max="2" width="7.5703125" bestFit="1" customWidth="1"/>
    <col min="3" max="3" width="138.85546875" bestFit="1" customWidth="1"/>
  </cols>
  <sheetData>
    <row r="1" spans="1:3" ht="21" x14ac:dyDescent="0.35">
      <c r="A1" s="18" t="s">
        <v>135</v>
      </c>
      <c r="B1" s="18"/>
      <c r="C1" s="18"/>
    </row>
    <row r="2" spans="1:3" x14ac:dyDescent="0.25">
      <c r="A2" t="s">
        <v>134</v>
      </c>
      <c r="B2" s="17"/>
      <c r="C2" t="str">
        <f>_xlfn.CONCAT("Configuration version ", _xlfn.XLOOKUP("metadata.version", CfgSettings[Name], CfgSettings[Value]))</f>
        <v>Configuration version 8</v>
      </c>
    </row>
    <row r="3" spans="1:3" x14ac:dyDescent="0.25">
      <c r="A3" t="s">
        <v>137</v>
      </c>
      <c r="B3" s="17"/>
      <c r="C3" s="12" t="s">
        <v>139</v>
      </c>
    </row>
    <row r="4" spans="1:3" x14ac:dyDescent="0.25">
      <c r="A4" t="s">
        <v>142</v>
      </c>
      <c r="B4" s="17"/>
      <c r="C4" s="12" t="s">
        <v>143</v>
      </c>
    </row>
    <row r="5" spans="1:3" x14ac:dyDescent="0.25">
      <c r="A5" t="s">
        <v>140</v>
      </c>
      <c r="B5" s="17"/>
      <c r="C5" s="12" t="s">
        <v>141</v>
      </c>
    </row>
    <row r="6" spans="1:3" x14ac:dyDescent="0.25">
      <c r="A6" t="s">
        <v>136</v>
      </c>
      <c r="B6" s="17"/>
      <c r="C6" s="12" t="s">
        <v>138</v>
      </c>
    </row>
    <row r="7" spans="1:3" x14ac:dyDescent="0.25">
      <c r="A7" t="s">
        <v>144</v>
      </c>
      <c r="B7" s="17"/>
      <c r="C7" s="12" t="s">
        <v>145</v>
      </c>
    </row>
    <row r="8" spans="1:3" x14ac:dyDescent="0.25">
      <c r="B8" s="17"/>
      <c r="C8" s="12"/>
    </row>
    <row r="9" spans="1:3" x14ac:dyDescent="0.25">
      <c r="A9" t="s">
        <v>174</v>
      </c>
      <c r="B9" s="17">
        <v>1</v>
      </c>
      <c r="C9" t="s">
        <v>175</v>
      </c>
    </row>
    <row r="10" spans="1:3" x14ac:dyDescent="0.25">
      <c r="B10" s="17"/>
      <c r="C10" t="s">
        <v>176</v>
      </c>
    </row>
    <row r="11" spans="1:3" x14ac:dyDescent="0.25">
      <c r="B11" s="17">
        <v>2</v>
      </c>
      <c r="C11" t="s">
        <v>177</v>
      </c>
    </row>
    <row r="12" spans="1:3" x14ac:dyDescent="0.25">
      <c r="B12" s="17"/>
      <c r="C12" t="s">
        <v>178</v>
      </c>
    </row>
    <row r="13" spans="1:3" x14ac:dyDescent="0.25">
      <c r="B13" s="17"/>
    </row>
    <row r="14" spans="1:3" x14ac:dyDescent="0.25">
      <c r="B14" s="17"/>
    </row>
    <row r="15" spans="1:3" x14ac:dyDescent="0.25">
      <c r="B15" s="17"/>
    </row>
    <row r="16" spans="1:3" x14ac:dyDescent="0.25">
      <c r="B16" s="17"/>
    </row>
    <row r="17" spans="1:3" x14ac:dyDescent="0.25">
      <c r="B17" s="17"/>
    </row>
    <row r="19" spans="1:3" ht="21" x14ac:dyDescent="0.35">
      <c r="A19" s="18" t="s">
        <v>110</v>
      </c>
      <c r="B19" s="18"/>
      <c r="C19" s="18"/>
    </row>
    <row r="21" spans="1:3" x14ac:dyDescent="0.25">
      <c r="A21" t="s">
        <v>51</v>
      </c>
      <c r="B21" t="s">
        <v>103</v>
      </c>
      <c r="C21" t="s">
        <v>4</v>
      </c>
    </row>
    <row r="22" spans="1:3" x14ac:dyDescent="0.25">
      <c r="A22" s="11" t="s">
        <v>111</v>
      </c>
      <c r="B22" s="11" t="s">
        <v>109</v>
      </c>
      <c r="C22" s="11" t="s">
        <v>112</v>
      </c>
    </row>
    <row r="23" spans="1:3" x14ac:dyDescent="0.25">
      <c r="A23" s="12" t="str">
        <f>HYPERLINK("#CfgBasic","CfgBasic")</f>
        <v>CfgBasic</v>
      </c>
      <c r="B23" t="s">
        <v>125</v>
      </c>
      <c r="C23" t="s">
        <v>127</v>
      </c>
    </row>
    <row r="24" spans="1:3" x14ac:dyDescent="0.25">
      <c r="A24" s="11" t="s">
        <v>113</v>
      </c>
      <c r="B24" s="11" t="s">
        <v>109</v>
      </c>
      <c r="C24" s="11" t="s">
        <v>114</v>
      </c>
    </row>
    <row r="25" spans="1:3" x14ac:dyDescent="0.25">
      <c r="A25" s="12" t="str">
        <f>HYPERLINK("#CfgAssignees", "CfgAssignees")</f>
        <v>CfgAssignees</v>
      </c>
      <c r="B25" t="s">
        <v>125</v>
      </c>
      <c r="C25" t="s">
        <v>154</v>
      </c>
    </row>
    <row r="26" spans="1:3" x14ac:dyDescent="0.25">
      <c r="A26" s="12" t="str">
        <f>HYPERLINK("#CfgSprints","CfgSprints")</f>
        <v>CfgSprints</v>
      </c>
      <c r="B26" t="s">
        <v>125</v>
      </c>
      <c r="C26" t="s">
        <v>115</v>
      </c>
    </row>
    <row r="27" spans="1:3" x14ac:dyDescent="0.25">
      <c r="A27" s="12" t="str">
        <f>HYPERLINK("#CfgFixVersions","CfgFixVersions")</f>
        <v>CfgFixVersions</v>
      </c>
      <c r="B27" t="s">
        <v>125</v>
      </c>
      <c r="C27" t="s">
        <v>128</v>
      </c>
    </row>
    <row r="28" spans="1:3" x14ac:dyDescent="0.25">
      <c r="A28" s="12" t="str">
        <f>HYPERLINK("#CfgIssueTypes","CfgIssueTypes")</f>
        <v>CfgIssueTypes</v>
      </c>
      <c r="B28" t="s">
        <v>125</v>
      </c>
      <c r="C28" t="s">
        <v>129</v>
      </c>
    </row>
    <row r="29" spans="1:3" x14ac:dyDescent="0.25">
      <c r="A29" s="12" t="str">
        <f>HYPERLINK("#CfgComponents","CfgComponents")</f>
        <v>CfgComponents</v>
      </c>
      <c r="B29" t="s">
        <v>125</v>
      </c>
      <c r="C29" t="s">
        <v>130</v>
      </c>
    </row>
    <row r="30" spans="1:3" x14ac:dyDescent="0.25">
      <c r="A30" s="12" t="str">
        <f>HYPERLINK("#CfgPriorities","CfgPriorities")</f>
        <v>CfgPriorities</v>
      </c>
      <c r="B30" t="s">
        <v>125</v>
      </c>
      <c r="C30" t="s">
        <v>131</v>
      </c>
    </row>
    <row r="31" spans="1:3" x14ac:dyDescent="0.25">
      <c r="A31" s="11" t="s">
        <v>116</v>
      </c>
      <c r="B31" s="11" t="s">
        <v>109</v>
      </c>
      <c r="C31" s="11" t="s">
        <v>179</v>
      </c>
    </row>
    <row r="32" spans="1:3" x14ac:dyDescent="0.25">
      <c r="A32" s="12" t="str">
        <f>HYPERLINK("#CfgAdvanced","CfgAdvanced")</f>
        <v>CfgAdvanced</v>
      </c>
      <c r="B32" t="s">
        <v>125</v>
      </c>
      <c r="C32" t="s">
        <v>117</v>
      </c>
    </row>
    <row r="33" spans="1:3" x14ac:dyDescent="0.25">
      <c r="A33" s="12" t="str">
        <f>HYPERLINK("#CfgCustomFields","CfgCustomFields")</f>
        <v>CfgCustomFields</v>
      </c>
      <c r="B33" t="s">
        <v>125</v>
      </c>
      <c r="C33" t="s">
        <v>119</v>
      </c>
    </row>
    <row r="34" spans="1:3" x14ac:dyDescent="0.25">
      <c r="A34" s="11" t="s">
        <v>120</v>
      </c>
      <c r="B34" s="11" t="s">
        <v>109</v>
      </c>
      <c r="C34" s="11" t="s">
        <v>123</v>
      </c>
    </row>
    <row r="35" spans="1:3" x14ac:dyDescent="0.25">
      <c r="A35" s="12" t="str">
        <f>HYPERLINK("#CfgSettings","CfgSettings")</f>
        <v>CfgSettings</v>
      </c>
      <c r="B35" t="s">
        <v>125</v>
      </c>
      <c r="C35" t="s">
        <v>121</v>
      </c>
    </row>
    <row r="36" spans="1:3" x14ac:dyDescent="0.25">
      <c r="A36" s="12" t="str">
        <f>HYPERLINK("#CfgAutofieldValues","CfgAutofieldValues")</f>
        <v>CfgAutofieldValues</v>
      </c>
      <c r="B36" t="s">
        <v>125</v>
      </c>
      <c r="C36" t="s">
        <v>122</v>
      </c>
    </row>
    <row r="37" spans="1:3" x14ac:dyDescent="0.25">
      <c r="A37" t="s">
        <v>59</v>
      </c>
      <c r="B37" t="s">
        <v>126</v>
      </c>
      <c r="C37" t="s">
        <v>124</v>
      </c>
    </row>
    <row r="38" spans="1:3" x14ac:dyDescent="0.25">
      <c r="A38" s="12" t="str">
        <f>HYPERLINK("#cfg_type_note","cfg_type_note")</f>
        <v>cfg_type_note</v>
      </c>
      <c r="B38" t="s">
        <v>125</v>
      </c>
      <c r="C38" t="s">
        <v>118</v>
      </c>
    </row>
    <row r="45" spans="1:3" x14ac:dyDescent="0.25">
      <c r="C45" t="s">
        <v>132</v>
      </c>
    </row>
  </sheetData>
  <mergeCells count="2">
    <mergeCell ref="A19:C19"/>
    <mergeCell ref="A1:C1"/>
  </mergeCells>
  <hyperlinks>
    <hyperlink ref="C3" r:id="rId1" xr:uid="{90733036-6E88-4FE6-A3EE-A797BC8A38E1}"/>
    <hyperlink ref="C6" r:id="rId2" xr:uid="{C5ABFB18-81D6-4652-AF5D-B8CBB3BD2CAB}"/>
    <hyperlink ref="C4" r:id="rId3" display="https://github.com/DeerHide/jira-toolkit?tab=MIT-1-ov-file" xr:uid="{22A37903-DF41-4BEC-97A2-F9FAF4A20D55}"/>
    <hyperlink ref="C7" r:id="rId4" xr:uid="{60C66227-14CA-45CA-8C50-4C2272A965F9}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C59B8-3AE8-4BEE-9365-0E278F01D5DF}">
  <sheetPr>
    <tabColor theme="5" tint="-0.499984740745262"/>
  </sheetPr>
  <dimension ref="A1:G7"/>
  <sheetViews>
    <sheetView workbookViewId="0">
      <selection activeCell="E5" sqref="E5"/>
    </sheetView>
  </sheetViews>
  <sheetFormatPr defaultRowHeight="15" x14ac:dyDescent="0.25"/>
  <cols>
    <col min="1" max="1" width="44.7109375" customWidth="1"/>
    <col min="2" max="2" width="38" customWidth="1"/>
    <col min="3" max="3" width="44.7109375" customWidth="1"/>
    <col min="5" max="5" width="44.7109375" customWidth="1"/>
    <col min="6" max="6" width="38" customWidth="1"/>
    <col min="7" max="7" width="44.7109375" customWidth="1"/>
  </cols>
  <sheetData>
    <row r="1" spans="1:7" ht="21" x14ac:dyDescent="0.35">
      <c r="A1" s="18" t="s">
        <v>105</v>
      </c>
      <c r="B1" s="18"/>
      <c r="C1" s="18"/>
      <c r="E1" s="18" t="s">
        <v>184</v>
      </c>
      <c r="F1" s="18"/>
      <c r="G1" s="18"/>
    </row>
    <row r="2" spans="1:7" x14ac:dyDescent="0.25">
      <c r="A2" s="19" t="s">
        <v>105</v>
      </c>
      <c r="B2" s="19"/>
      <c r="C2" s="8"/>
      <c r="E2" s="19" t="s">
        <v>185</v>
      </c>
      <c r="F2" s="19"/>
      <c r="G2" s="19"/>
    </row>
    <row r="3" spans="1:7" x14ac:dyDescent="0.25">
      <c r="A3" t="s">
        <v>51</v>
      </c>
      <c r="B3" t="s">
        <v>52</v>
      </c>
      <c r="C3" t="s">
        <v>33</v>
      </c>
      <c r="E3" t="s">
        <v>51</v>
      </c>
      <c r="F3" t="s">
        <v>52</v>
      </c>
      <c r="G3" t="s">
        <v>33</v>
      </c>
    </row>
    <row r="4" spans="1:7" x14ac:dyDescent="0.25">
      <c r="A4" t="s">
        <v>133</v>
      </c>
      <c r="B4" t="s">
        <v>79</v>
      </c>
      <c r="C4" s="7" t="s">
        <v>99</v>
      </c>
      <c r="E4" t="s">
        <v>48</v>
      </c>
      <c r="F4" t="s">
        <v>39</v>
      </c>
      <c r="G4" s="7" t="s">
        <v>69</v>
      </c>
    </row>
    <row r="5" spans="1:7" x14ac:dyDescent="0.25">
      <c r="A5" t="s">
        <v>48</v>
      </c>
      <c r="B5" t="s">
        <v>39</v>
      </c>
      <c r="C5" s="7" t="s">
        <v>69</v>
      </c>
      <c r="E5" t="s">
        <v>186</v>
      </c>
      <c r="F5" t="s">
        <v>87</v>
      </c>
      <c r="G5" s="7" t="s">
        <v>70</v>
      </c>
    </row>
    <row r="6" spans="1:7" x14ac:dyDescent="0.25">
      <c r="A6" t="s">
        <v>45</v>
      </c>
      <c r="B6" t="s">
        <v>87</v>
      </c>
      <c r="C6" s="7" t="s">
        <v>70</v>
      </c>
    </row>
    <row r="7" spans="1:7" x14ac:dyDescent="0.25">
      <c r="A7" t="s">
        <v>90</v>
      </c>
      <c r="B7" t="s">
        <v>91</v>
      </c>
      <c r="C7" s="7"/>
    </row>
  </sheetData>
  <mergeCells count="4">
    <mergeCell ref="A1:C1"/>
    <mergeCell ref="A2:B2"/>
    <mergeCell ref="E1:G1"/>
    <mergeCell ref="E2:G2"/>
  </mergeCell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26160-D4DD-4A02-AEF5-852C4FDDA1AB}">
  <sheetPr>
    <tabColor theme="5" tint="-0.249977111117893"/>
  </sheetPr>
  <dimension ref="A1:M29"/>
  <sheetViews>
    <sheetView tabSelected="1" topLeftCell="B1" workbookViewId="0">
      <selection activeCell="L13" sqref="L13"/>
    </sheetView>
  </sheetViews>
  <sheetFormatPr defaultRowHeight="15" x14ac:dyDescent="0.25"/>
  <cols>
    <col min="1" max="1" width="29.7109375" customWidth="1"/>
    <col min="2" max="2" width="49" bestFit="1" customWidth="1"/>
    <col min="4" max="4" width="29.7109375" customWidth="1"/>
    <col min="5" max="5" width="49" bestFit="1" customWidth="1"/>
    <col min="7" max="8" width="18.7109375" customWidth="1"/>
    <col min="10" max="10" width="20.140625" bestFit="1" customWidth="1"/>
    <col min="12" max="12" width="18.5703125" customWidth="1"/>
    <col min="13" max="13" width="18" bestFit="1" customWidth="1"/>
    <col min="16" max="16" width="18.7109375" customWidth="1"/>
  </cols>
  <sheetData>
    <row r="1" spans="1:13" ht="21" x14ac:dyDescent="0.35">
      <c r="A1" s="18" t="s">
        <v>66</v>
      </c>
      <c r="B1" s="18"/>
      <c r="D1" s="18" t="s">
        <v>180</v>
      </c>
      <c r="E1" s="18"/>
      <c r="G1" s="18" t="s">
        <v>67</v>
      </c>
      <c r="H1" s="18"/>
      <c r="J1" s="6" t="s">
        <v>54</v>
      </c>
      <c r="L1" s="6" t="s">
        <v>49</v>
      </c>
    </row>
    <row r="2" spans="1:13" x14ac:dyDescent="0.25">
      <c r="A2" s="19" t="s">
        <v>71</v>
      </c>
      <c r="B2" s="19"/>
      <c r="D2" s="19" t="s">
        <v>71</v>
      </c>
      <c r="E2" s="19"/>
      <c r="G2" s="19" t="s">
        <v>72</v>
      </c>
      <c r="H2" s="19"/>
      <c r="J2" s="10" t="s">
        <v>73</v>
      </c>
      <c r="L2" s="9" t="s">
        <v>75</v>
      </c>
    </row>
    <row r="3" spans="1:13" x14ac:dyDescent="0.25">
      <c r="A3" t="s">
        <v>6</v>
      </c>
      <c r="B3" t="s">
        <v>55</v>
      </c>
      <c r="D3" t="s">
        <v>181</v>
      </c>
      <c r="E3" t="s">
        <v>182</v>
      </c>
      <c r="G3" t="s">
        <v>56</v>
      </c>
      <c r="H3" t="s">
        <v>57</v>
      </c>
      <c r="J3" t="s">
        <v>61</v>
      </c>
      <c r="L3" t="s">
        <v>59</v>
      </c>
      <c r="M3" t="s">
        <v>183</v>
      </c>
    </row>
    <row r="4" spans="1:13" x14ac:dyDescent="0.25">
      <c r="A4" t="s">
        <v>155</v>
      </c>
      <c r="B4" t="s">
        <v>160</v>
      </c>
      <c r="D4" t="s">
        <v>155</v>
      </c>
      <c r="E4" t="s">
        <v>160</v>
      </c>
      <c r="G4" t="s">
        <v>166</v>
      </c>
      <c r="H4">
        <v>97</v>
      </c>
      <c r="J4" t="s">
        <v>165</v>
      </c>
      <c r="L4" t="s">
        <v>38</v>
      </c>
      <c r="M4">
        <v>3</v>
      </c>
    </row>
    <row r="5" spans="1:13" x14ac:dyDescent="0.25">
      <c r="A5" t="s">
        <v>156</v>
      </c>
      <c r="B5" t="s">
        <v>161</v>
      </c>
      <c r="D5" t="s">
        <v>156</v>
      </c>
      <c r="E5" t="s">
        <v>161</v>
      </c>
      <c r="L5" t="s">
        <v>36</v>
      </c>
      <c r="M5">
        <v>3</v>
      </c>
    </row>
    <row r="6" spans="1:13" x14ac:dyDescent="0.25">
      <c r="A6" t="s">
        <v>157</v>
      </c>
      <c r="B6" t="s">
        <v>162</v>
      </c>
      <c r="D6" t="s">
        <v>157</v>
      </c>
      <c r="E6" t="s">
        <v>162</v>
      </c>
      <c r="G6" s="2"/>
      <c r="H6" s="2"/>
      <c r="L6" t="s">
        <v>40</v>
      </c>
      <c r="M6">
        <v>3</v>
      </c>
    </row>
    <row r="7" spans="1:13" x14ac:dyDescent="0.25">
      <c r="A7" t="s">
        <v>158</v>
      </c>
      <c r="B7" t="s">
        <v>163</v>
      </c>
      <c r="D7" t="s">
        <v>158</v>
      </c>
      <c r="E7" t="s">
        <v>163</v>
      </c>
      <c r="G7" s="2"/>
      <c r="H7" s="2"/>
      <c r="L7" t="s">
        <v>41</v>
      </c>
      <c r="M7">
        <v>2</v>
      </c>
    </row>
    <row r="8" spans="1:13" x14ac:dyDescent="0.25">
      <c r="A8" t="s">
        <v>159</v>
      </c>
      <c r="B8" t="s">
        <v>164</v>
      </c>
      <c r="D8" t="s">
        <v>159</v>
      </c>
      <c r="E8" t="s">
        <v>164</v>
      </c>
      <c r="G8" s="2"/>
      <c r="H8" s="2"/>
      <c r="L8" t="s">
        <v>89</v>
      </c>
      <c r="M8">
        <v>4</v>
      </c>
    </row>
    <row r="9" spans="1:13" x14ac:dyDescent="0.25">
      <c r="G9" s="2"/>
      <c r="H9" s="2"/>
    </row>
    <row r="10" spans="1:13" x14ac:dyDescent="0.25">
      <c r="G10" s="2"/>
      <c r="H10" s="2"/>
    </row>
    <row r="11" spans="1:13" x14ac:dyDescent="0.25">
      <c r="G11" s="2"/>
      <c r="H11" s="2"/>
    </row>
    <row r="12" spans="1:13" x14ac:dyDescent="0.25">
      <c r="G12" s="2"/>
      <c r="H12" s="2"/>
    </row>
    <row r="13" spans="1:13" x14ac:dyDescent="0.25">
      <c r="G13" s="2"/>
      <c r="H13" s="2"/>
    </row>
    <row r="14" spans="1:13" x14ac:dyDescent="0.25">
      <c r="G14" s="2"/>
      <c r="H14" s="2"/>
    </row>
    <row r="15" spans="1:13" x14ac:dyDescent="0.25">
      <c r="G15" s="2"/>
      <c r="H15" s="2"/>
    </row>
    <row r="16" spans="1:13" x14ac:dyDescent="0.25">
      <c r="G16" s="2"/>
      <c r="H16" s="2"/>
    </row>
    <row r="17" spans="7:12" x14ac:dyDescent="0.25">
      <c r="G17" s="2"/>
      <c r="H17" s="2"/>
    </row>
    <row r="18" spans="7:12" x14ac:dyDescent="0.25">
      <c r="G18" s="2"/>
      <c r="H18" s="2"/>
    </row>
    <row r="19" spans="7:12" x14ac:dyDescent="0.25">
      <c r="G19" s="2"/>
      <c r="H19" s="2"/>
    </row>
    <row r="20" spans="7:12" ht="21" x14ac:dyDescent="0.35">
      <c r="G20" s="2"/>
      <c r="H20" s="2"/>
      <c r="J20" s="6" t="s">
        <v>53</v>
      </c>
      <c r="L20" s="6" t="s">
        <v>50</v>
      </c>
    </row>
    <row r="21" spans="7:12" x14ac:dyDescent="0.25">
      <c r="J21" s="9" t="s">
        <v>74</v>
      </c>
      <c r="L21" s="9" t="s">
        <v>77</v>
      </c>
    </row>
    <row r="22" spans="7:12" x14ac:dyDescent="0.25">
      <c r="J22" t="s">
        <v>60</v>
      </c>
      <c r="L22" t="s">
        <v>58</v>
      </c>
    </row>
    <row r="23" spans="7:12" x14ac:dyDescent="0.25">
      <c r="J23" t="s">
        <v>62</v>
      </c>
      <c r="L23" s="1" t="s">
        <v>37</v>
      </c>
    </row>
    <row r="24" spans="7:12" x14ac:dyDescent="0.25">
      <c r="J24" t="s">
        <v>63</v>
      </c>
      <c r="L24" s="1" t="s">
        <v>46</v>
      </c>
    </row>
    <row r="25" spans="7:12" x14ac:dyDescent="0.25">
      <c r="J25" t="s">
        <v>81</v>
      </c>
      <c r="L25" s="1" t="s">
        <v>88</v>
      </c>
    </row>
    <row r="26" spans="7:12" x14ac:dyDescent="0.25">
      <c r="J26" t="s">
        <v>82</v>
      </c>
      <c r="L26" s="1" t="s">
        <v>96</v>
      </c>
    </row>
    <row r="27" spans="7:12" x14ac:dyDescent="0.25">
      <c r="J27" t="s">
        <v>83</v>
      </c>
      <c r="L27" s="1" t="s">
        <v>97</v>
      </c>
    </row>
    <row r="28" spans="7:12" x14ac:dyDescent="0.25">
      <c r="J28" t="s">
        <v>84</v>
      </c>
      <c r="L28" s="1" t="s">
        <v>47</v>
      </c>
    </row>
    <row r="29" spans="7:12" x14ac:dyDescent="0.25">
      <c r="J29" t="s">
        <v>85</v>
      </c>
    </row>
  </sheetData>
  <mergeCells count="6">
    <mergeCell ref="A1:B1"/>
    <mergeCell ref="A2:B2"/>
    <mergeCell ref="G1:H1"/>
    <mergeCell ref="G2:H2"/>
    <mergeCell ref="D1:E1"/>
    <mergeCell ref="D2:E2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870B6-7634-447C-A6F1-6703396BEFBB}">
  <sheetPr>
    <tabColor theme="5" tint="0.39997558519241921"/>
  </sheetPr>
  <dimension ref="A1:H5"/>
  <sheetViews>
    <sheetView workbookViewId="0">
      <selection activeCell="B4" sqref="B4"/>
    </sheetView>
  </sheetViews>
  <sheetFormatPr defaultRowHeight="15" x14ac:dyDescent="0.25"/>
  <cols>
    <col min="1" max="1" width="44.7109375" customWidth="1"/>
    <col min="2" max="2" width="38" customWidth="1"/>
    <col min="3" max="3" width="44.7109375" customWidth="1"/>
    <col min="5" max="8" width="17.140625" customWidth="1"/>
  </cols>
  <sheetData>
    <row r="1" spans="1:8" ht="21" x14ac:dyDescent="0.35">
      <c r="A1" s="18" t="s">
        <v>86</v>
      </c>
      <c r="B1" s="18"/>
      <c r="C1" s="18"/>
      <c r="E1" s="18" t="s">
        <v>106</v>
      </c>
      <c r="F1" s="18"/>
      <c r="G1" s="18"/>
      <c r="H1" s="18"/>
    </row>
    <row r="2" spans="1:8" x14ac:dyDescent="0.25">
      <c r="A2" s="19"/>
      <c r="B2" s="19"/>
      <c r="C2" s="8"/>
      <c r="E2" s="7"/>
      <c r="F2" s="7"/>
      <c r="G2" s="7"/>
      <c r="H2" s="7"/>
    </row>
    <row r="3" spans="1:8" x14ac:dyDescent="0.25">
      <c r="A3" t="s">
        <v>51</v>
      </c>
      <c r="B3" t="s">
        <v>52</v>
      </c>
      <c r="C3" t="s">
        <v>33</v>
      </c>
      <c r="E3" t="s">
        <v>51</v>
      </c>
      <c r="F3" t="s">
        <v>102</v>
      </c>
      <c r="G3" t="s">
        <v>103</v>
      </c>
      <c r="H3" t="s">
        <v>104</v>
      </c>
    </row>
    <row r="4" spans="1:8" x14ac:dyDescent="0.25">
      <c r="A4" t="s">
        <v>92</v>
      </c>
      <c r="B4" t="s">
        <v>93</v>
      </c>
      <c r="C4" s="7" t="s">
        <v>98</v>
      </c>
    </row>
    <row r="5" spans="1:8" x14ac:dyDescent="0.25">
      <c r="A5" t="s">
        <v>94</v>
      </c>
      <c r="B5" t="s">
        <v>95</v>
      </c>
      <c r="C5" s="7" t="s">
        <v>146</v>
      </c>
    </row>
  </sheetData>
  <mergeCells count="3">
    <mergeCell ref="E1:H1"/>
    <mergeCell ref="A1:C1"/>
    <mergeCell ref="A2:B2"/>
  </mergeCells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AFFE4-B6EA-4EE3-9951-97FB176AB35C}">
  <sheetPr>
    <tabColor rgb="FFC00000"/>
  </sheetPr>
  <dimension ref="A1:I21"/>
  <sheetViews>
    <sheetView workbookViewId="0">
      <selection activeCell="G55" sqref="G55"/>
    </sheetView>
  </sheetViews>
  <sheetFormatPr defaultRowHeight="15" x14ac:dyDescent="0.25"/>
  <cols>
    <col min="1" max="1" width="22.28515625" bestFit="1" customWidth="1"/>
    <col min="3" max="3" width="16.5703125" bestFit="1" customWidth="1"/>
    <col min="4" max="4" width="35.140625" bestFit="1" customWidth="1"/>
    <col min="6" max="6" width="16.5703125" bestFit="1" customWidth="1"/>
    <col min="9" max="9" width="32.42578125" bestFit="1" customWidth="1"/>
  </cols>
  <sheetData>
    <row r="1" spans="1:9" ht="21" x14ac:dyDescent="0.35">
      <c r="A1" s="6" t="s">
        <v>68</v>
      </c>
      <c r="C1" s="18" t="s">
        <v>101</v>
      </c>
      <c r="D1" s="18"/>
      <c r="F1" s="18" t="s">
        <v>108</v>
      </c>
      <c r="G1" s="18"/>
      <c r="I1" s="6" t="s">
        <v>64</v>
      </c>
    </row>
    <row r="2" spans="1:9" x14ac:dyDescent="0.25">
      <c r="A2" s="8" t="s">
        <v>78</v>
      </c>
      <c r="I2" s="8" t="s">
        <v>76</v>
      </c>
    </row>
    <row r="3" spans="1:9" x14ac:dyDescent="0.25">
      <c r="A3" s="5" t="s">
        <v>59</v>
      </c>
      <c r="C3" t="s">
        <v>51</v>
      </c>
      <c r="D3" t="s">
        <v>52</v>
      </c>
      <c r="F3" t="s">
        <v>51</v>
      </c>
      <c r="G3" t="s">
        <v>52</v>
      </c>
      <c r="I3" t="s">
        <v>65</v>
      </c>
    </row>
    <row r="4" spans="1:9" x14ac:dyDescent="0.25">
      <c r="A4" t="str" cm="1">
        <f t="array" aca="1" ref="A4:A12" ca="1">_xlfn.UNIQUE((_xlfn.VSTACK(INDIRECT("CfgIssueTypes[IssueType.Name]"),INDIRECT("CfgIgnoreList[IgnoreList.Name]"))))</f>
        <v>Story</v>
      </c>
      <c r="C4" t="s">
        <v>100</v>
      </c>
      <c r="D4">
        <v>8</v>
      </c>
      <c r="I4" t="s">
        <v>34</v>
      </c>
    </row>
    <row r="5" spans="1:9" x14ac:dyDescent="0.25">
      <c r="A5" t="str">
        <f ca="1"/>
        <v>Task</v>
      </c>
      <c r="C5" t="s">
        <v>107</v>
      </c>
      <c r="D5" t="str" cm="1">
        <f t="array" aca="1" ref="D5" ca="1">"[" &amp; _xlfn.TEXTJOIN(",",TRUE,_xlfn.MAP(_xlfn._xlws.FILTER(INDIRECT("CfgIgnoreList[IgnoreList.Name]"),INDIRECT("CfgIgnoreList[IgnoreList.Name]")&lt;&gt;""),_xlfn.LAMBDA(_xlpm.x,"""" &amp; SUBSTITUTE(_xlpm.x,"""","""""") &amp; """"))) &amp; "]"</f>
        <v>["Comment","Skip","Note","WorkItem"]</v>
      </c>
      <c r="I5" t="s">
        <v>43</v>
      </c>
    </row>
    <row r="6" spans="1:9" x14ac:dyDescent="0.25">
      <c r="A6" t="str">
        <f ca="1"/>
        <v>Bug</v>
      </c>
      <c r="I6" t="s">
        <v>33</v>
      </c>
    </row>
    <row r="7" spans="1:9" x14ac:dyDescent="0.25">
      <c r="A7" t="str">
        <f ca="1"/>
        <v>Epic</v>
      </c>
      <c r="I7" t="s">
        <v>44</v>
      </c>
    </row>
    <row r="8" spans="1:9" x14ac:dyDescent="0.25">
      <c r="A8" t="str">
        <f ca="1"/>
        <v>Sub-task</v>
      </c>
    </row>
    <row r="9" spans="1:9" x14ac:dyDescent="0.25">
      <c r="A9" t="str">
        <f ca="1"/>
        <v>Comment</v>
      </c>
    </row>
    <row r="10" spans="1:9" x14ac:dyDescent="0.25">
      <c r="A10" t="str">
        <f ca="1"/>
        <v>Skip</v>
      </c>
    </row>
    <row r="11" spans="1:9" x14ac:dyDescent="0.25">
      <c r="A11" t="str">
        <f ca="1"/>
        <v>Note</v>
      </c>
    </row>
    <row r="12" spans="1:9" x14ac:dyDescent="0.25">
      <c r="A12" t="str">
        <f ca="1"/>
        <v>WorkItem</v>
      </c>
    </row>
    <row r="13" spans="1:9" ht="21" x14ac:dyDescent="0.35">
      <c r="C13" s="18" t="s">
        <v>172</v>
      </c>
      <c r="D13" s="18"/>
      <c r="E13" s="18"/>
      <c r="F13" s="18"/>
      <c r="G13" s="18"/>
    </row>
    <row r="14" spans="1:9" x14ac:dyDescent="0.25">
      <c r="C14" s="20" t="s">
        <v>173</v>
      </c>
      <c r="D14" s="20"/>
      <c r="E14" s="20"/>
      <c r="F14" s="20"/>
      <c r="G14" s="20"/>
    </row>
    <row r="15" spans="1:9" x14ac:dyDescent="0.25">
      <c r="C15" t="str" cm="1">
        <f t="array" aca="1" ref="C15:E21" ca="1">_xlfn.UNIQUE(
    (
        _xlfn.VSTACK(
            INDIRECT("CfgBasic"),
            INDIRECT("CfgAdvanced"),
            INDIRECT("CfgAutofieldValues")
        )
    )
)</f>
        <v>jira.project.key</v>
      </c>
      <c r="D15" t="str">
        <f ca="1"/>
        <v>JITTP2</v>
      </c>
      <c r="E15" t="str">
        <f ca="1"/>
        <v>The project Key of the Jira project (mendatory for API imports</v>
      </c>
    </row>
    <row r="16" spans="1:9" x14ac:dyDescent="0.25">
      <c r="C16" t="str">
        <f ca="1"/>
        <v>Creation Marker</v>
      </c>
      <c r="D16" t="str">
        <f ca="1"/>
        <v>imported</v>
      </c>
      <c r="E16" t="str">
        <f ca="1"/>
        <v>A label added to all imported task to flag them in Jira</v>
      </c>
    </row>
    <row r="17" spans="3:5" x14ac:dyDescent="0.25">
      <c r="C17" t="str">
        <f ca="1"/>
        <v>Feature Pod Label</v>
      </c>
      <c r="D17" t="str">
        <f ca="1"/>
        <v>pod_test</v>
      </c>
      <c r="E17" t="str">
        <f ca="1"/>
        <v>Appropirate label for the feature pod when relevant</v>
      </c>
    </row>
    <row r="18" spans="3:5" x14ac:dyDescent="0.25">
      <c r="C18" t="str">
        <f ca="1"/>
        <v>jira.connection.site_address</v>
      </c>
      <c r="D18" t="str">
        <f ca="1"/>
        <v>https://deerhide.atlassian.net</v>
      </c>
      <c r="E18">
        <f ca="1"/>
        <v>0</v>
      </c>
    </row>
    <row r="19" spans="3:5" x14ac:dyDescent="0.25">
      <c r="C19" t="str">
        <f ca="1"/>
        <v>app.import.auto_open_page</v>
      </c>
      <c r="D19" t="str">
        <f ca="1"/>
        <v>yes</v>
      </c>
      <c r="E19" t="str">
        <f ca="1"/>
        <v>Open the import page after processing the dataset?</v>
      </c>
    </row>
    <row r="20" spans="3:5" x14ac:dyDescent="0.25">
      <c r="C20" t="str">
        <f ca="1"/>
        <v>jira.components_source</v>
      </c>
      <c r="D20" t="str">
        <f ca="1"/>
        <v>jira</v>
      </c>
      <c r="E20" t="str">
        <f ca="1"/>
        <v>Use Jira or Compass components</v>
      </c>
    </row>
    <row r="21" spans="3:5" x14ac:dyDescent="0.25">
      <c r="C21">
        <f ca="1"/>
        <v>0</v>
      </c>
      <c r="D21">
        <f ca="1"/>
        <v>0</v>
      </c>
      <c r="E21" t="e">
        <f ca="1"/>
        <v>#N/A</v>
      </c>
    </row>
  </sheetData>
  <mergeCells count="4">
    <mergeCell ref="C1:D1"/>
    <mergeCell ref="F1:G1"/>
    <mergeCell ref="C13:G13"/>
    <mergeCell ref="C14:G14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5C1C1-4176-48E9-A3A3-F5EE6A4A55A5}">
  <sheetPr>
    <tabColor theme="9" tint="0.39997558519241921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E542-D6DF-43D8-A37B-0533192CF1B9}">
  <sheetPr>
    <tabColor theme="9" tint="0.39997558519241921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Props1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Dataset</vt:lpstr>
      <vt:lpstr>Quick Analysis</vt:lpstr>
      <vt:lpstr>Help</vt:lpstr>
      <vt:lpstr>Config - Basic</vt:lpstr>
      <vt:lpstr>Config - Mappings</vt:lpstr>
      <vt:lpstr>Config - Advanced</vt:lpstr>
      <vt:lpstr>Config - Factory</vt:lpstr>
      <vt:lpstr>_importMeta</vt:lpstr>
      <vt:lpstr>_ImportReport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  <vt:lpstr>CfgIssueTypeList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2026-08-08T23:37:50Z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