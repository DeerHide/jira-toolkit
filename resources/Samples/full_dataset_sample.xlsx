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dir\DeerHide\sources\jira-toolkit\resources\Samples\"/>
    </mc:Choice>
  </mc:AlternateContent>
  <xr:revisionPtr revIDLastSave="0" documentId="13_ncr:1_{AFD5FD0F-7840-4E78-8412-F4D2762CDDC9}" xr6:coauthVersionLast="47" xr6:coauthVersionMax="47" xr10:uidLastSave="{00000000-0000-0000-0000-000000000000}"/>
  <bookViews>
    <workbookView xWindow="4380" yWindow="2970" windowWidth="29685" windowHeight="23445" xr2:uid="{1FA076D1-0294-4A97-AB8C-3ADE2BC9CEA1}"/>
  </bookViews>
  <sheets>
    <sheet name="Dataset" sheetId="1" r:id="rId1"/>
    <sheet name="Quick Analysis" sheetId="11" r:id="rId2"/>
    <sheet name="Help" sheetId="6" r:id="rId3"/>
    <sheet name="Config - Basic" sheetId="3" r:id="rId4"/>
    <sheet name="Config - Mappings" sheetId="4" r:id="rId5"/>
    <sheet name="Config - Advanced" sheetId="5" r:id="rId6"/>
    <sheet name="Config - Factory" sheetId="9" state="hidden" r:id="rId7"/>
    <sheet name="_importMeta" sheetId="7" state="hidden" r:id="rId8"/>
    <sheet name="_ImportReport" sheetId="8" state="hidden" r:id="rId9"/>
  </sheets>
  <definedNames>
    <definedName name="cfg_labels_ft_label">'Config - Basic'!$B$6</definedName>
    <definedName name="cfg_labels_ft_name">'Config - Basic'!$B$6</definedName>
    <definedName name="cfg_labels_imported">'Config - Basic'!$B$5</definedName>
    <definedName name="cfg_projectKey">'Config - Basic'!$B$4</definedName>
    <definedName name="cfg_type_comment">'Config - Factory'!$I$4</definedName>
    <definedName name="cfg_type_note">'Config - Factory'!$I$6</definedName>
    <definedName name="cfg_type_skip">'Config - Factory'!$I$5</definedName>
    <definedName name="cfg_type_workitem">'Config - Factory'!$I$7</definedName>
    <definedName name="CfgIssueTypeList">'Config - Factory'!$A$4:$A$24</definedName>
  </definedNames>
  <calcPr calcId="191029"/>
  <pivotCaches>
    <pivotCache cacheId="1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AI4" i="1" a="1"/>
  <c r="AI5" i="1" a="1"/>
  <c r="AI6" i="1" a="1"/>
  <c r="AI7" i="1" a="1"/>
  <c r="AI8" i="1" a="1"/>
  <c r="AI9" i="1" a="1"/>
  <c r="AI10" i="1" a="1"/>
  <c r="AI11" i="1" a="1"/>
  <c r="AI12" i="1" a="1"/>
  <c r="AI13" i="1" a="1"/>
  <c r="AI14" i="1" a="1"/>
  <c r="AI15" i="1" a="1"/>
  <c r="AI16" i="1" a="1"/>
  <c r="AI17" i="1" a="1"/>
  <c r="AI18" i="1" a="1"/>
  <c r="AI19" i="1" a="1"/>
  <c r="AI20" i="1" a="1"/>
  <c r="AI21" i="1" a="1"/>
  <c r="AI22" i="1" a="1"/>
  <c r="AI23" i="1" a="1"/>
  <c r="AI24" i="1" a="1"/>
  <c r="AI25" i="1" a="1"/>
  <c r="AI26" i="1" a="1"/>
  <c r="AI27" i="1" a="1"/>
  <c r="AI28" i="1" a="1"/>
  <c r="AI29" i="1" a="1"/>
  <c r="AI30" i="1" a="1"/>
  <c r="AI31" i="1" a="1"/>
  <c r="AI32" i="1" a="1"/>
  <c r="AI33" i="1" a="1"/>
  <c r="AI34" i="1" a="1"/>
  <c r="AI35" i="1" a="1"/>
  <c r="AI36" i="1" a="1"/>
  <c r="AI37" i="1" a="1"/>
  <c r="AI38" i="1" a="1"/>
  <c r="AI39" i="1" a="1"/>
  <c r="AI40" i="1" a="1"/>
  <c r="AI41" i="1" a="1"/>
  <c r="AI42" i="1" a="1"/>
  <c r="AI3" i="1" a="1"/>
  <c r="C15" i="9" a="1"/>
  <c r="N3" i="1"/>
  <c r="C2" i="6"/>
  <c r="A36" i="6"/>
  <c r="A35" i="6"/>
  <c r="A33" i="6"/>
  <c r="A38" i="6"/>
  <c r="A32" i="6"/>
  <c r="A30" i="6"/>
  <c r="A29" i="6"/>
  <c r="A28" i="6"/>
  <c r="A27" i="6"/>
  <c r="A26" i="6"/>
  <c r="A23" i="6"/>
  <c r="A25" i="6"/>
  <c r="D5" i="9" a="1"/>
  <c r="A4" i="9" a="1"/>
  <c r="AI2" i="1" a="1"/>
  <c r="N2" i="1"/>
  <c r="AG4" i="1" l="1"/>
  <c r="AC4" i="1"/>
  <c r="AF4" i="1"/>
  <c r="AH4" i="1" a="1"/>
  <c r="AE4" i="1"/>
  <c r="AD4" i="1"/>
  <c r="AH5" i="1" a="1"/>
  <c r="AC5" i="1"/>
  <c r="AD5" i="1"/>
  <c r="AE5" i="1"/>
  <c r="AG5" i="1"/>
  <c r="AF5" i="1"/>
  <c r="AH6" i="1" a="1"/>
  <c r="AE6" i="1"/>
  <c r="AD6" i="1"/>
  <c r="AC6" i="1"/>
  <c r="AG6" i="1"/>
  <c r="AF6" i="1"/>
  <c r="AC7" i="1"/>
  <c r="AD7" i="1"/>
  <c r="AH7" i="1" a="1"/>
  <c r="AG7" i="1"/>
  <c r="AE7" i="1"/>
  <c r="AF7" i="1"/>
  <c r="AF8" i="1"/>
  <c r="AC8" i="1"/>
  <c r="AD8" i="1"/>
  <c r="AE8" i="1"/>
  <c r="AG8" i="1"/>
  <c r="AH8" i="1" a="1"/>
  <c r="AH9" i="1" a="1"/>
  <c r="AC9" i="1"/>
  <c r="AG9" i="1"/>
  <c r="AE9" i="1"/>
  <c r="AD9" i="1"/>
  <c r="AF9" i="1"/>
  <c r="AC10" i="1"/>
  <c r="AH10" i="1" a="1"/>
  <c r="AF10" i="1"/>
  <c r="AD10" i="1"/>
  <c r="AE10" i="1"/>
  <c r="AG10" i="1"/>
  <c r="AF11" i="1"/>
  <c r="AG11" i="1"/>
  <c r="AE11" i="1"/>
  <c r="AD11" i="1"/>
  <c r="AC11" i="1"/>
  <c r="AH11" i="1" a="1"/>
  <c r="AE12" i="1"/>
  <c r="AC12" i="1"/>
  <c r="AD12" i="1"/>
  <c r="AF12" i="1"/>
  <c r="AG12" i="1"/>
  <c r="AH12" i="1" a="1"/>
  <c r="AD13" i="1"/>
  <c r="AG13" i="1"/>
  <c r="AF13" i="1"/>
  <c r="AH13" i="1" a="1"/>
  <c r="AC13" i="1"/>
  <c r="AE13" i="1"/>
  <c r="AC14" i="1"/>
  <c r="AF14" i="1"/>
  <c r="AE14" i="1"/>
  <c r="AG14" i="1"/>
  <c r="AH14" i="1" a="1"/>
  <c r="AD14" i="1"/>
  <c r="AD15" i="1"/>
  <c r="AG15" i="1"/>
  <c r="AH15" i="1" a="1"/>
  <c r="AE15" i="1"/>
  <c r="AF15" i="1"/>
  <c r="AC15" i="1"/>
  <c r="AD16" i="1"/>
  <c r="AE16" i="1"/>
  <c r="AC16" i="1"/>
  <c r="AF16" i="1"/>
  <c r="AG16" i="1"/>
  <c r="AH16" i="1" a="1"/>
  <c r="AG17" i="1"/>
  <c r="AE17" i="1"/>
  <c r="AD17" i="1"/>
  <c r="AH17" i="1" a="1"/>
  <c r="AC17" i="1"/>
  <c r="AF17" i="1"/>
  <c r="AF18" i="1"/>
  <c r="AG18" i="1"/>
  <c r="AC18" i="1"/>
  <c r="AH18" i="1" a="1"/>
  <c r="AE18" i="1"/>
  <c r="AD18" i="1"/>
  <c r="AE19" i="1"/>
  <c r="AF19" i="1"/>
  <c r="AC19" i="1"/>
  <c r="AD19" i="1"/>
  <c r="AH19" i="1" a="1"/>
  <c r="AG19" i="1"/>
  <c r="AH20" i="1" a="1"/>
  <c r="AD20" i="1"/>
  <c r="AF20" i="1"/>
  <c r="AG20" i="1"/>
  <c r="AE20" i="1"/>
  <c r="AC20" i="1"/>
  <c r="AG21" i="1"/>
  <c r="AE21" i="1"/>
  <c r="AH21" i="1" a="1"/>
  <c r="AC21" i="1"/>
  <c r="AD21" i="1"/>
  <c r="AF21" i="1"/>
  <c r="AE22" i="1"/>
  <c r="AC22" i="1"/>
  <c r="AD22" i="1"/>
  <c r="AH22" i="1" a="1"/>
  <c r="AF22" i="1"/>
  <c r="AG22" i="1"/>
  <c r="AC23" i="1"/>
  <c r="AF23" i="1"/>
  <c r="AD23" i="1"/>
  <c r="AG23" i="1"/>
  <c r="AH23" i="1" a="1"/>
  <c r="AE23" i="1"/>
  <c r="AC24" i="1"/>
  <c r="AG24" i="1"/>
  <c r="AE24" i="1"/>
  <c r="AD24" i="1"/>
  <c r="AF24" i="1"/>
  <c r="AH24" i="1" a="1"/>
  <c r="AC25" i="1"/>
  <c r="AF25" i="1"/>
  <c r="AH25" i="1" a="1"/>
  <c r="AG25" i="1"/>
  <c r="AE25" i="1"/>
  <c r="AD25" i="1"/>
  <c r="AC26" i="1"/>
  <c r="AG26" i="1"/>
  <c r="AD26" i="1"/>
  <c r="AE26" i="1"/>
  <c r="AH26" i="1" a="1"/>
  <c r="AF26" i="1"/>
  <c r="AE27" i="1"/>
  <c r="AD27" i="1"/>
  <c r="AF27" i="1"/>
  <c r="AH27" i="1" a="1"/>
  <c r="AC27" i="1"/>
  <c r="AG27" i="1"/>
  <c r="AH28" i="1" a="1"/>
  <c r="AC28" i="1"/>
  <c r="AE28" i="1"/>
  <c r="AG28" i="1"/>
  <c r="AF28" i="1"/>
  <c r="AD28" i="1"/>
  <c r="AG29" i="1"/>
  <c r="AC29" i="1"/>
  <c r="AH29" i="1" a="1"/>
  <c r="AF29" i="1"/>
  <c r="AE29" i="1"/>
  <c r="AD29" i="1"/>
  <c r="AH30" i="1" a="1"/>
  <c r="AE30" i="1"/>
  <c r="AD30" i="1"/>
  <c r="AC30" i="1"/>
  <c r="AF30" i="1"/>
  <c r="AG30" i="1"/>
  <c r="AC31" i="1"/>
  <c r="AE31" i="1"/>
  <c r="AH31" i="1" a="1"/>
  <c r="AG31" i="1"/>
  <c r="AD31" i="1"/>
  <c r="AF31" i="1"/>
  <c r="AC32" i="1"/>
  <c r="AF32" i="1"/>
  <c r="AH32" i="1" a="1"/>
  <c r="AG32" i="1"/>
  <c r="AD32" i="1"/>
  <c r="AE32" i="1"/>
  <c r="AD33" i="1"/>
  <c r="AC33" i="1"/>
  <c r="AE33" i="1"/>
  <c r="AF33" i="1"/>
  <c r="AH33" i="1" a="1"/>
  <c r="AG33" i="1"/>
  <c r="AH34" i="1" a="1"/>
  <c r="AG34" i="1"/>
  <c r="AC34" i="1"/>
  <c r="AF34" i="1"/>
  <c r="AE34" i="1"/>
  <c r="AD34" i="1"/>
  <c r="AD35" i="1"/>
  <c r="AF35" i="1"/>
  <c r="AC35" i="1"/>
  <c r="AE35" i="1"/>
  <c r="AG35" i="1"/>
  <c r="AH35" i="1" a="1"/>
  <c r="AF36" i="1"/>
  <c r="AD36" i="1"/>
  <c r="AC36" i="1"/>
  <c r="AG36" i="1"/>
  <c r="AE36" i="1"/>
  <c r="AH36" i="1" a="1"/>
  <c r="AG37" i="1"/>
  <c r="AD37" i="1"/>
  <c r="AC37" i="1"/>
  <c r="AF37" i="1"/>
  <c r="AH37" i="1" a="1"/>
  <c r="AE37" i="1"/>
  <c r="AE38" i="1"/>
  <c r="AG38" i="1"/>
  <c r="AD38" i="1"/>
  <c r="AC38" i="1"/>
  <c r="AF38" i="1"/>
  <c r="AH38" i="1" a="1"/>
  <c r="AF39" i="1"/>
  <c r="AG39" i="1"/>
  <c r="AE39" i="1"/>
  <c r="AC39" i="1"/>
  <c r="AD39" i="1"/>
  <c r="AH39" i="1" a="1"/>
  <c r="AD40" i="1"/>
  <c r="AE40" i="1"/>
  <c r="AC40" i="1"/>
  <c r="AF40" i="1"/>
  <c r="AG40" i="1"/>
  <c r="AH40" i="1" a="1"/>
  <c r="AC41" i="1"/>
  <c r="AE41" i="1"/>
  <c r="AH41" i="1" a="1"/>
  <c r="AD41" i="1"/>
  <c r="AF41" i="1"/>
  <c r="AG41" i="1"/>
  <c r="AF42" i="1"/>
  <c r="AC42" i="1"/>
  <c r="AG42" i="1"/>
  <c r="AH42" i="1" a="1"/>
  <c r="AD42" i="1"/>
  <c r="AE42" i="1"/>
  <c r="AE2" i="1"/>
  <c r="AD2" i="1"/>
  <c r="AD3" i="1"/>
  <c r="AE3" i="1"/>
  <c r="AG3" i="1"/>
  <c r="AC3" i="1"/>
  <c r="AF3" i="1"/>
  <c r="AH3" i="1" a="1"/>
  <c r="AC2" i="1"/>
  <c r="AG2" i="1"/>
  <c r="AF2" i="1"/>
  <c r="AH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Tom_48_97</author>
  </authors>
  <commentList>
    <comment ref="A1" authorId="0" shapeId="0" xr:uid="{06BE7299-79E0-483E-B256-5A152E196E39}">
      <text>
        <r>
          <rPr>
            <sz val="9"/>
            <color indexed="81"/>
            <rFont val="Tahoma"/>
            <family val="2"/>
          </rPr>
          <t>Priority value (e.g. High, Medium, Low). Prefer CfgPriorities.</t>
        </r>
      </text>
    </comment>
    <comment ref="B1" authorId="0" shapeId="0" xr:uid="{0CFDAC5F-4827-43FD-BF87-525D7D6E6DFB}">
      <text>
        <r>
          <rPr>
            <sz val="9"/>
            <color indexed="81"/>
            <rFont val="Tahoma"/>
            <family val="2"/>
          </rPr>
          <t>Issue type (Epic, Story, Task…). Skip types like comment/note are ignored.</t>
        </r>
      </text>
    </comment>
    <comment ref="C1" authorId="0" shapeId="0" xr:uid="{8A4935B1-5A64-46B8-B917-76178C291BCB}">
      <text>
        <r>
          <rPr>
            <sz val="9"/>
            <color indexed="81"/>
            <rFont val="Tahoma"/>
            <family val="2"/>
          </rPr>
          <t>Short issue title. Required.</t>
        </r>
      </text>
    </comment>
    <comment ref="E1" authorId="0" shapeId="0" xr:uid="{12159F71-ED90-4EEC-87B7-6D32A81840C4}">
      <text>
        <r>
          <rPr>
            <sz val="9"/>
            <color indexed="81"/>
            <rFont val="Tahoma"/>
            <family val="2"/>
          </rPr>
          <t>Optional longer description.</t>
        </r>
      </text>
    </comment>
    <comment ref="F1" authorId="0" shapeId="0" xr:uid="{9C29F0D9-EEC2-4CD5-94B3-E79BFBEEBA7A}">
      <text>
        <r>
          <rPr>
            <sz val="9"/>
            <color indexed="81"/>
            <rFont val="Tahoma"/>
            <family val="2"/>
          </rPr>
          <t>Release/version name. Prefer CfgFixVersions.</t>
        </r>
      </text>
    </comment>
    <comment ref="G1" authorId="0" shapeId="0" xr:uid="{D37165B4-6A0B-4DE1-BBC9-E2B87095C67A}">
      <text>
        <r>
          <rPr>
            <sz val="9"/>
            <color indexed="81"/>
            <rFont val="Tahoma"/>
            <family val="2"/>
          </rPr>
          <t>Assignee name from CfgAssignees (mapped to account ID).</t>
        </r>
      </text>
    </comment>
    <comment ref="H1" authorId="0" shapeId="0" xr:uid="{BF9D9590-454C-4556-A96A-8432D26EB0AA}">
      <text>
        <r>
          <rPr>
            <sz val="9"/>
            <color indexed="81"/>
            <rFont val="Tahoma"/>
            <family val="2"/>
          </rPr>
          <t>Component name from CfgComponents. One per cell.</t>
        </r>
      </text>
    </comment>
    <comment ref="I1" authorId="0" shapeId="0" xr:uid="{E0BF772F-400D-4779-B463-DF3B16DC24EF}">
      <text>
        <r>
          <rPr>
            <sz val="9"/>
            <color indexed="81"/>
            <rFont val="Tahoma"/>
            <family val="2"/>
          </rPr>
          <t>Sprint name from CfgSprints. Blank if unplanned.</t>
        </r>
      </text>
    </comment>
    <comment ref="J1" authorId="0" shapeId="0" xr:uid="{098743DC-80FD-4D99-8C10-F8768C499BB1}">
      <text>
        <r>
          <rPr>
            <sz val="9"/>
            <color indexed="81"/>
            <rFont val="Tahoma"/>
            <family val="2"/>
          </rPr>
          <t>Effort estimate. Blank if unknown. Format 1w 2d 4h (week=5days, day=8h)</t>
        </r>
      </text>
    </comment>
    <comment ref="K1" authorId="0" shapeId="0" xr:uid="{E6A239CC-FBE8-42B6-BE3E-9D37323CB14A}">
      <text>
        <r>
          <rPr>
            <sz val="9"/>
            <color indexed="81"/>
            <rFont val="Tahoma"/>
            <family val="2"/>
          </rPr>
          <t>Unique local ID in this file (not a Jira key). Used for links.</t>
        </r>
      </text>
    </comment>
    <comment ref="L1" authorId="0" shapeId="0" xr:uid="{B1D0971D-6639-458E-AEB8-E00BC927C14D}">
      <text>
        <r>
          <rPr>
            <sz val="9"/>
            <color indexed="81"/>
            <rFont val="Tahoma"/>
            <family val="2"/>
          </rPr>
          <t>Parent’s Issue ID in this file. Blank if top-level.</t>
        </r>
      </text>
    </comment>
    <comment ref="R1" authorId="0" shapeId="0" xr:uid="{FD454FB1-970A-43A3-8724-BF23CA54530B}">
      <text>
        <r>
          <rPr>
            <sz val="9"/>
            <color indexed="81"/>
            <rFont val="Tahoma"/>
            <family val="2"/>
          </rPr>
          <t>One label token. Use Labels1+ for more. Multiple Labels can be added in one cell, separated by semicolons (labels1; Label2)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<sst xmlns="http://schemas.openxmlformats.org/spreadsheetml/2006/main" count="575" uniqueCount="287">
  <si>
    <t>IssueType</t>
  </si>
  <si>
    <t>Priority</t>
  </si>
  <si>
    <t>Summary</t>
  </si>
  <si>
    <t>Issue Key</t>
  </si>
  <si>
    <t>Description</t>
  </si>
  <si>
    <t>FixVersion</t>
  </si>
  <si>
    <t>Assignee.Name</t>
  </si>
  <si>
    <t>Component</t>
  </si>
  <si>
    <t>Sprint Name</t>
  </si>
  <si>
    <t>Estimate</t>
  </si>
  <si>
    <t>Issue ID</t>
  </si>
  <si>
    <t>Epic Link</t>
  </si>
  <si>
    <t>Epic Name</t>
  </si>
  <si>
    <t>Child-Issue</t>
  </si>
  <si>
    <t>Child-Issue1</t>
  </si>
  <si>
    <t>Child-Issue2</t>
  </si>
  <si>
    <t>Labels</t>
  </si>
  <si>
    <t>Labels1</t>
  </si>
  <si>
    <t>Labels2</t>
  </si>
  <si>
    <t>Labels3</t>
  </si>
  <si>
    <t>Labels4</t>
  </si>
  <si>
    <t>Labels5</t>
  </si>
  <si>
    <t>Labels6</t>
  </si>
  <si>
    <t>Labels7</t>
  </si>
  <si>
    <t>Labels8</t>
  </si>
  <si>
    <t>Labels9</t>
  </si>
  <si>
    <t>Labels10</t>
  </si>
  <si>
    <t>Sprint</t>
  </si>
  <si>
    <t>Labels0001</t>
  </si>
  <si>
    <t>Labels0002</t>
  </si>
  <si>
    <t>Assignee</t>
  </si>
  <si>
    <t>Project Key</t>
  </si>
  <si>
    <t>OrigEst</t>
  </si>
  <si>
    <t>Note</t>
  </si>
  <si>
    <t>Comment</t>
  </si>
  <si>
    <t>FORMULA HOLDER</t>
  </si>
  <si>
    <t>Task</t>
  </si>
  <si>
    <t>Medium</t>
  </si>
  <si>
    <t>Story</t>
  </si>
  <si>
    <t>imported</t>
  </si>
  <si>
    <t>Bug</t>
  </si>
  <si>
    <t>Epic</t>
  </si>
  <si>
    <t>RowType</t>
  </si>
  <si>
    <t>Skip</t>
  </si>
  <si>
    <t>WorkItem</t>
  </si>
  <si>
    <t>Feature Pod Label</t>
  </si>
  <si>
    <t>Highest</t>
  </si>
  <si>
    <t>Triage</t>
  </si>
  <si>
    <t>Creation Marker</t>
  </si>
  <si>
    <t>Issue Type</t>
  </si>
  <si>
    <t>Priority Lists</t>
  </si>
  <si>
    <t>Name</t>
  </si>
  <si>
    <t>Value</t>
  </si>
  <si>
    <t>Components</t>
  </si>
  <si>
    <t>Fix Version</t>
  </si>
  <si>
    <t>Assignee.ID</t>
  </si>
  <si>
    <t>Sprint.Name</t>
  </si>
  <si>
    <t>Sprint.ID</t>
  </si>
  <si>
    <t>Priority.Name</t>
  </si>
  <si>
    <t>IssueType.Name</t>
  </si>
  <si>
    <t>Component.Name</t>
  </si>
  <si>
    <t>FixVersion.Name</t>
  </si>
  <si>
    <t>Ignore List</t>
  </si>
  <si>
    <t>IgnoreList.Name</t>
  </si>
  <si>
    <t>Assignees</t>
  </si>
  <si>
    <t>Sprints</t>
  </si>
  <si>
    <t>Combined Types</t>
  </si>
  <si>
    <t>A label added to all imported task to flag them in Jira</t>
  </si>
  <si>
    <t>Appropirate label for the feature pod when relevant</t>
  </si>
  <si>
    <t>List of assignees with their ID (Cloud) or Usernames (DC)</t>
  </si>
  <si>
    <t>Sprints Symbolic Names and their Jira IDs</t>
  </si>
  <si>
    <t>Fix Version Namess</t>
  </si>
  <si>
    <t>List of Components</t>
  </si>
  <si>
    <t>Accepted User Types</t>
  </si>
  <si>
    <t>Issue Types that won't be imported</t>
  </si>
  <si>
    <t>List of Piorities</t>
  </si>
  <si>
    <t>Combined list for the table</t>
  </si>
  <si>
    <t>JITTP2</t>
  </si>
  <si>
    <t>Parent</t>
  </si>
  <si>
    <t>Misc Fields</t>
  </si>
  <si>
    <t>pod_test</t>
  </si>
  <si>
    <t>High</t>
  </si>
  <si>
    <t>Sub-task</t>
  </si>
  <si>
    <t>jira.connection.site_address</t>
  </si>
  <si>
    <t>https://deerhide.atlassian.net</t>
  </si>
  <si>
    <t>app.import.auto_open_page</t>
  </si>
  <si>
    <t>yes</t>
  </si>
  <si>
    <t>jira.components_source</t>
  </si>
  <si>
    <t>jira</t>
  </si>
  <si>
    <t>Low</t>
  </si>
  <si>
    <t>Lowest</t>
  </si>
  <si>
    <t>Open the import page after processing the dataset?</t>
  </si>
  <si>
    <t>The project Key of the Jira project (mendatory for API imports</t>
  </si>
  <si>
    <t>metadata.version</t>
  </si>
  <si>
    <t>Internal Config</t>
  </si>
  <si>
    <t>Id</t>
  </si>
  <si>
    <t>Type</t>
  </si>
  <si>
    <t>Format</t>
  </si>
  <si>
    <t>Basic Configuration</t>
  </si>
  <si>
    <t>Custom Jira Fields</t>
  </si>
  <si>
    <t>skip_issuetypes</t>
  </si>
  <si>
    <t xml:space="preserve">CfgAutofieldValues </t>
  </si>
  <si>
    <t>Sheet</t>
  </si>
  <si>
    <t>Configuration</t>
  </si>
  <si>
    <t>Config - Basic</t>
  </si>
  <si>
    <t>Everyday project settings used during import. Start here before the other config sheets.</t>
  </si>
  <si>
    <t>Config - Mappings</t>
  </si>
  <si>
    <t>Reference lists that match spreadsheet values to valid Jira options.</t>
  </si>
  <si>
    <t>Maps sprint names to Jira sprint IDs.</t>
  </si>
  <si>
    <t>Config - Advanced</t>
  </si>
  <si>
    <t>Key/value settings for connection and import behavior.</t>
  </si>
  <si>
    <t>Workbook helper name (not read by the app). Used for Excel formulas and validation.</t>
  </si>
  <si>
    <t>Defines custom Jira fields used by extra dataset columns.</t>
  </si>
  <si>
    <t>Config - Factory</t>
  </si>
  <si>
    <t>Main app settings, such as config version and skip rules. Use columns Name and Value.</t>
  </si>
  <si>
    <t>Default values applied automatically when a field is empty. Use columns Name and Value.</t>
  </si>
  <si>
    <t>Auto-generated configuration area. Contains system tables and defaults—do not modify manually.</t>
  </si>
  <si>
    <t>Generated dropdown source for the dataset. Combines allowed issue types and skip/note types from CfgIssueTypes + CfgIgnoreList.</t>
  </si>
  <si>
    <t>Table</t>
  </si>
  <si>
    <t>List</t>
  </si>
  <si>
    <t>Basic key/value settings for the project (for example: project key, import labels, site address).</t>
  </si>
  <si>
    <t>Lists fix versions allowed in the import.</t>
  </si>
  <si>
    <t>Lists issue types allowed in the import.</t>
  </si>
  <si>
    <t>Lists components allowed in the import.</t>
  </si>
  <si>
    <t>Lists priorities allowed in the import.</t>
  </si>
  <si>
    <t xml:space="preserve"> </t>
  </si>
  <si>
    <t>jira.project.key</t>
  </si>
  <si>
    <t xml:space="preserve">Jira Toolkit: Importer 🚀 </t>
  </si>
  <si>
    <t>Notes</t>
  </si>
  <si>
    <t>Sources</t>
  </si>
  <si>
    <t>Documentation</t>
  </si>
  <si>
    <t>https://github.com/DeerHide/jira-toolkit</t>
  </si>
  <si>
    <t>https://github.com/DeerHide/jira-toolkit/blob/main/README.md</t>
  </si>
  <si>
    <t>Releases</t>
  </si>
  <si>
    <t>https://github.com/DeerHide/jira-toolkit/releases</t>
  </si>
  <si>
    <t xml:space="preserve">License </t>
  </si>
  <si>
    <t>MIT License</t>
  </si>
  <si>
    <t>Author(s)</t>
  </si>
  <si>
    <t>https://deerhide.run</t>
  </si>
  <si>
    <t>Use Jira or Compass components</t>
  </si>
  <si>
    <t>Row Labels</t>
  </si>
  <si>
    <t>Grand Total</t>
  </si>
  <si>
    <t>(blank)</t>
  </si>
  <si>
    <t>Count</t>
  </si>
  <si>
    <t>FixVersion/Sprint/Type</t>
  </si>
  <si>
    <t>(All)</t>
  </si>
  <si>
    <t>Type/Assignee</t>
  </si>
  <si>
    <t>Maps friendly assignee names to Jira user IDs. DC installs use email addresses.</t>
  </si>
  <si>
    <t>joe.grunt</t>
  </si>
  <si>
    <t>john.doe</t>
  </si>
  <si>
    <t>jane.smith</t>
  </si>
  <si>
    <t>Alice A</t>
  </si>
  <si>
    <t>Bob B</t>
  </si>
  <si>
    <t>712020:09876543212345678901</t>
  </si>
  <si>
    <t>712020:09876543212345678902</t>
  </si>
  <si>
    <t>712020:09876543212345678903</t>
  </si>
  <si>
    <t>712020:09876543212345678904</t>
  </si>
  <si>
    <t>712020:09876543212345678905</t>
  </si>
  <si>
    <t>JITTP Version 1</t>
  </si>
  <si>
    <t>JITTP_Sprint_48</t>
  </si>
  <si>
    <t>First Label</t>
  </si>
  <si>
    <t>Second Label; Third Label</t>
  </si>
  <si>
    <t>Another Label</t>
  </si>
  <si>
    <t>Computed Config</t>
  </si>
  <si>
    <t>Combined parameters from CfgBasic, CfgAdvanced, CfgAutofieldValues (not authoritative)</t>
  </si>
  <si>
    <t>FAQ</t>
  </si>
  <si>
    <t>Why does the conditional formatting look off? (row formatting)</t>
  </si>
  <si>
    <t>In excel, moving, copying/pasting rows can break the conditional formatting. This can be fixed by using the format painter using the first row as reference.</t>
  </si>
  <si>
    <t>All field from the Data Validation report #REF</t>
  </si>
  <si>
    <t>This can happen when the file gets exported from Gsheet. Best course of action is to redo an export to fix the table and range names.</t>
  </si>
  <si>
    <t>Advanced settings, custom fields, and special import behavior. Also contains build-specific settings.</t>
  </si>
  <si>
    <t>Teams</t>
  </si>
  <si>
    <t>Team.Name</t>
  </si>
  <si>
    <t>Team.ID</t>
  </si>
  <si>
    <t>IssueType.Level</t>
  </si>
  <si>
    <t>Misc Configuration</t>
  </si>
  <si>
    <t>Parameters only used by the Template</t>
  </si>
  <si>
    <t>Work Group</t>
  </si>
  <si>
    <t>DO NOT DELETE, IT'S USED FOR THE CALCULATED COLUMNS AND AS REFERENCE IN CASE OF MISSING FORMULA</t>
  </si>
  <si>
    <t>This sheet is ignored by the importer, it can contain anything</t>
  </si>
  <si>
    <t>JITTP Version 2</t>
  </si>
  <si>
    <t>JITTP Version 3</t>
  </si>
  <si>
    <t>Initiative</t>
  </si>
  <si>
    <t>initiative</t>
  </si>
  <si>
    <t>epic</t>
  </si>
  <si>
    <t>story</t>
  </si>
  <si>
    <t>task</t>
  </si>
  <si>
    <t>bug</t>
  </si>
  <si>
    <t>sub-task</t>
  </si>
  <si>
    <t>Digital Transformation Program</t>
  </si>
  <si>
    <t>Customer Onboarding Revamp</t>
  </si>
  <si>
    <t>Design Welcome Flow</t>
  </si>
  <si>
    <t>Implement Welcome Screens</t>
  </si>
  <si>
    <t>Fix Broken Skip Button</t>
  </si>
  <si>
    <t>Unit Tests: Welcome Flow</t>
  </si>
  <si>
    <t>Authentication &amp; Accounts</t>
  </si>
  <si>
    <t>SSO Integration</t>
  </si>
  <si>
    <t>Password Reset Flow</t>
  </si>
  <si>
    <t>Session Expiry Bug</t>
  </si>
  <si>
    <t>Add Tests for Reset Flow</t>
  </si>
  <si>
    <t>Payments &amp; Billing</t>
  </si>
  <si>
    <t>Checkout API</t>
  </si>
  <si>
    <t>Checkout UI</t>
  </si>
  <si>
    <t>Currency Rounding Error</t>
  </si>
  <si>
    <t>Edge-Case Tests</t>
  </si>
  <si>
    <t>Mobile &amp; Growth</t>
  </si>
  <si>
    <t>Mobile App UX</t>
  </si>
  <si>
    <t>Responsive Layout</t>
  </si>
  <si>
    <t>Touch Gestures</t>
  </si>
  <si>
    <t>Gesture Misfire Bug</t>
  </si>
  <si>
    <t>Gesture Regression Tests</t>
  </si>
  <si>
    <t>Admin &amp; Permissions</t>
  </si>
  <si>
    <t>Role Model Design</t>
  </si>
  <si>
    <t>Permission Editor UI</t>
  </si>
  <si>
    <t>Access Denied Bug</t>
  </si>
  <si>
    <t>Unit Tests: Guards</t>
  </si>
  <si>
    <t>Localization &amp; Accessibility</t>
  </si>
  <si>
    <t>Language Packs</t>
  </si>
  <si>
    <t>RTL Support</t>
  </si>
  <si>
    <t>Contrast Issue</t>
  </si>
  <si>
    <t>Contrast Test Cases</t>
  </si>
  <si>
    <t>Security Hardening</t>
  </si>
  <si>
    <t>Token Refresh</t>
  </si>
  <si>
    <t>Rate Limiting</t>
  </si>
  <si>
    <t>JWT Validation Bug</t>
  </si>
  <si>
    <t>JWT Negative Tests</t>
  </si>
  <si>
    <t>Analytics &amp; Reporting</t>
  </si>
  <si>
    <t>Usage Dashboard</t>
  </si>
  <si>
    <t>Charts: Load Tests</t>
  </si>
  <si>
    <t>Top-level initiative coordinating cross-domain work</t>
  </si>
  <si>
    <t>Improve first-time user experience and activation</t>
  </si>
  <si>
    <t>Create wireframes and copy for welcome steps</t>
  </si>
  <si>
    <t>Build front-end for multi-step welcome</t>
  </si>
  <si>
    <t>Skip button unresponsive on step 2</t>
  </si>
  <si>
    <t>Cover edge cases for welcome logic</t>
  </si>
  <si>
    <t>Modernize auth</t>
  </si>
  <si>
    <t>Add OIDC SSO with corporate IdP</t>
  </si>
  <si>
    <t>Implement secure token-based reset</t>
  </si>
  <si>
    <t>Sessions not invalidated on logout</t>
  </si>
  <si>
    <t>Write unit tests for reset controller</t>
  </si>
  <si>
    <t>Stripe integration and invoicing</t>
  </si>
  <si>
    <t>Implement server-side checkout</t>
  </si>
  <si>
    <t>Build cart and checkout screens</t>
  </si>
  <si>
    <t>Rounding differs between UI/API</t>
  </si>
  <si>
    <t>Add e2e tests for failed payments</t>
  </si>
  <si>
    <t>Mobile-first initiative to grow MAU</t>
  </si>
  <si>
    <t>Refine navigation and gestures on mobile</t>
  </si>
  <si>
    <t>Implement responsive grid and breakpoints</t>
  </si>
  <si>
    <t>Add swipe/long-press interactions</t>
  </si>
  <si>
    <t>Swipe back triggers on tap</t>
  </si>
  <si>
    <t>Automate gesture tests on devices</t>
  </si>
  <si>
    <t>Granular roles and permissions</t>
  </si>
  <si>
    <t>Define roles/claims and inheritance</t>
  </si>
  <si>
    <t>Create admin UI to manage permissions</t>
  </si>
  <si>
    <t>Authorized users blocked by guard</t>
  </si>
  <si>
    <t>Add unit tests for permission guards</t>
  </si>
  <si>
    <t>Internationalization and a11y</t>
  </si>
  <si>
    <t>Ship EN/FR/DE language packs</t>
  </si>
  <si>
    <t>Add RTL styles and mirroring</t>
  </si>
  <si>
    <t>Insufficient contrast on buttons</t>
  </si>
  <si>
    <t>Create WCAG contrast tests</t>
  </si>
  <si>
    <t>Defense-in-depth workstream</t>
  </si>
  <si>
    <t>Implement rotating refresh tokens</t>
  </si>
  <si>
    <t>Add per-IP/user limits</t>
  </si>
  <si>
    <t>Expired tokens accepted</t>
  </si>
  <si>
    <t>Add invalid/expired token tests</t>
  </si>
  <si>
    <t>Dashboards and exports</t>
  </si>
  <si>
    <t>Build KPI dashboard for MAU/DAU</t>
  </si>
  <si>
    <t>Create performance tests for charts</t>
  </si>
  <si>
    <t>Product</t>
  </si>
  <si>
    <t>UX</t>
  </si>
  <si>
    <t>Frontend</t>
  </si>
  <si>
    <t>Testing</t>
  </si>
  <si>
    <t>Security</t>
  </si>
  <si>
    <t>Backend</t>
  </si>
  <si>
    <t>Payments</t>
  </si>
  <si>
    <t>Strategy</t>
  </si>
  <si>
    <t>Localization</t>
  </si>
  <si>
    <t>Analytics</t>
  </si>
  <si>
    <t>2w</t>
  </si>
  <si>
    <t>1w</t>
  </si>
  <si>
    <t>3d</t>
  </si>
  <si>
    <t>4d</t>
  </si>
  <si>
    <t>6h</t>
  </si>
  <si>
    <t>1d</t>
  </si>
  <si>
    <t>2d</t>
  </si>
  <si>
    <t>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</si>
</sst>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0" fontId="19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3" fillId="33" borderId="10" xfId="0" applyFont="1" applyFill="1" applyBorder="1"/>
    <xf numFmtId="0" fontId="20" fillId="21" borderId="0" xfId="30" applyFont="1" applyAlignment="1">
      <alignment horizontal="center"/>
    </xf>
    <xf numFmtId="0" fontId="0" fillId="0" borderId="0" xfId="0" applyAlignment="1">
      <alignment shrinkToFit="1"/>
    </xf>
    <xf numFmtId="0" fontId="15" fillId="0" borderId="0" xfId="16" applyAlignment="1">
      <alignment horizontal="left" shrinkToFit="1"/>
    </xf>
    <xf numFmtId="0" fontId="15" fillId="0" borderId="0" xfId="16" applyAlignment="1">
      <alignment shrinkToFit="1"/>
    </xf>
    <xf numFmtId="0" fontId="15" fillId="0" borderId="0" xfId="16" applyAlignment="1">
      <alignment horizontal="center" shrinkToFit="1"/>
    </xf>
    <xf numFmtId="0" fontId="16" fillId="24" borderId="0" xfId="33" applyFont="1"/>
    <xf numFmtId="0" fontId="21" fillId="0" borderId="0" xfId="42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right" indent="1"/>
    </xf>
    <xf numFmtId="0" fontId="20" fillId="21" borderId="0" xfId="30" applyFont="1" applyAlignment="1">
      <alignment horizontal="center"/>
    </xf>
    <xf numFmtId="0" fontId="15" fillId="0" borderId="0" xfId="16" applyAlignment="1">
      <alignment horizontal="left" shrinkToFit="1"/>
    </xf>
    <xf numFmtId="0" fontId="15" fillId="0" borderId="0" xfId="16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8"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/>
        <strike val="0"/>
        <color theme="0" tint="-0.34998626667073579"/>
      </font>
      <fill>
        <patternFill>
          <bgColor theme="0" tint="-4.9989318521683403E-2"/>
        </patternFill>
      </fill>
    </dxf>
    <dxf>
      <font>
        <strike/>
        <color auto="1"/>
      </font>
      <fill>
        <patternFill patternType="none">
          <bgColor auto="1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 patternType="solid">
          <fgColor auto="1"/>
          <bgColor rgb="FFF9B1AB"/>
        </patternFill>
      </fill>
    </dxf>
    <dxf>
      <font>
        <b/>
        <i val="0"/>
      </font>
      <fill>
        <patternFill>
          <bgColor rgb="FFFFCC99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FF99CC"/>
        </patternFill>
      </fill>
    </dxf>
    <dxf>
      <font>
        <b/>
        <i val="0"/>
      </font>
      <fill>
        <patternFill>
          <bgColor rgb="FFFF6699"/>
        </patternFill>
      </fill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vertical="top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vertical="top"/>
    </dxf>
    <dxf>
      <numFmt numFmtId="0" formatCode="General"/>
      <alignment vertical="top"/>
    </dxf>
    <dxf>
      <numFmt numFmtId="0" formatCode="General"/>
      <alignment vertical="top"/>
    </dxf>
    <dxf>
      <numFmt numFmtId="0" formatCode="General"/>
      <alignment vertical="top"/>
    </dxf>
    <dxf>
      <numFmt numFmtId="0" formatCode="General"/>
      <alignment vertical="top"/>
    </dxf>
    <dxf>
      <alignment vertical="top"/>
    </dxf>
    <dxf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0" formatCode="General"/>
      <alignment vertical="top"/>
    </dxf>
    <dxf>
      <alignment vertical="top"/>
    </dxf>
    <dxf>
      <numFmt numFmtId="0" formatCode="General"/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b val="0"/>
      </font>
      <numFmt numFmtId="0" formatCode="General"/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numFmt numFmtId="30" formatCode="@"/>
    </dxf>
  </dxfs>
  <tableStyles count="0" defaultTableStyle="TableStyleMedium2" defaultPivotStyle="PivotStyleLight16"/>
  <colors>
    <mruColors>
      <color rgb="FFDAF2D0"/>
      <color rgb="FFF2CEEF"/>
      <color rgb="FFAFE49C"/>
      <color rgb="FFE18FD9"/>
      <color rgb="FFFF5050"/>
      <color rgb="FFF9B1AB"/>
      <color rgb="FFCCECFF"/>
      <color rgb="FF99CCFF"/>
      <color rgb="FFFF66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7233F75-225A-4D7F-8A86-543E0A8C6E58}">
    <nsvFilter filterId="{933FCFD5-1AB1-4076-B5DD-E2B69F5EB3F2}" ref="A1:AJ42" tableId="1"/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_48_97" refreshedDate="46243.043627314815" createdVersion="8" refreshedVersion="8" minRefreshableVersion="3" recordCount="2" xr:uid="{F8F75E99-BF0A-4DC5-B6C9-3A036049D8C1}">
  <cacheSource type="worksheet">
    <worksheetSource name="JiraDataset"/>
  </cacheSource>
  <cacheFields count="36">
    <cacheField name="Priority" numFmtId="0">
      <sharedItems containsBlank="1"/>
    </cacheField>
    <cacheField name="IssueType" numFmtId="0">
      <sharedItems count="5">
        <s v="Note"/>
        <s v="Epic"/>
        <s v="Story" u="1"/>
        <s v="Sub-task" u="1"/>
        <s v="Task" u="1"/>
      </sharedItems>
    </cacheField>
    <cacheField name="Summary" numFmtId="0">
      <sharedItems/>
    </cacheField>
    <cacheField name="Issue Key" numFmtId="0">
      <sharedItems containsNonDate="0" containsString="0" containsBlank="1"/>
    </cacheField>
    <cacheField name="Description" numFmtId="0">
      <sharedItems containsBlank="1"/>
    </cacheField>
    <cacheField name="FixVersion" numFmtId="0">
      <sharedItems containsBlank="1" count="2">
        <m/>
        <s v="JITTP Version 1"/>
      </sharedItems>
    </cacheField>
    <cacheField name="Assignee.Name" numFmtId="0">
      <sharedItems containsBlank="1" count="2">
        <m/>
        <s v="joe.grunt"/>
      </sharedItems>
    </cacheField>
    <cacheField name="Component" numFmtId="0">
      <sharedItems containsBlank="1"/>
    </cacheField>
    <cacheField name="Sprint Name" numFmtId="0">
      <sharedItems containsBlank="1" count="2">
        <m/>
        <s v="JITTP_Sprint_48"/>
      </sharedItems>
    </cacheField>
    <cacheField name="Estimate" numFmtId="0">
      <sharedItems containsBlank="1"/>
    </cacheField>
    <cacheField name="Issue ID" numFmtId="0">
      <sharedItems containsNonDate="0" containsString="0" containsBlank="1"/>
    </cacheField>
    <cacheField name="Parent" numFmtId="0">
      <sharedItems containsNonDate="0" containsString="0" containsBlank="1"/>
    </cacheField>
    <cacheField name="Epic Link" numFmtId="0">
      <sharedItems containsNonDate="0" containsString="0" containsBlank="1"/>
    </cacheField>
    <cacheField name="Epic Name" numFmtId="0">
      <sharedItems/>
    </cacheField>
    <cacheField name="Child-Issue" numFmtId="0">
      <sharedItems containsNonDate="0" containsString="0" containsBlank="1"/>
    </cacheField>
    <cacheField name="Child-Issue1" numFmtId="0">
      <sharedItems containsNonDate="0" containsString="0" containsBlank="1"/>
    </cacheField>
    <cacheField name="Child-Issue2" numFmtId="0">
      <sharedItems containsNonDate="0" containsString="0" containsBlank="1"/>
    </cacheField>
    <cacheField name="Labels" numFmtId="0">
      <sharedItems containsBlank="1"/>
    </cacheField>
    <cacheField name="Labels1" numFmtId="0">
      <sharedItems containsBlank="1"/>
    </cacheField>
    <cacheField name="Labels2" numFmtId="0">
      <sharedItems containsBlank="1"/>
    </cacheField>
    <cacheField name="Labels3" numFmtId="0">
      <sharedItems containsNonDate="0" containsString="0" containsBlank="1"/>
    </cacheField>
    <cacheField name="Labels4" numFmtId="0">
      <sharedItems containsNonDate="0" containsString="0" containsBlank="1"/>
    </cacheField>
    <cacheField name="Labels5" numFmtId="0">
      <sharedItems containsNonDate="0" containsString="0" containsBlank="1"/>
    </cacheField>
    <cacheField name="Labels6" numFmtId="0">
      <sharedItems containsNonDate="0" containsString="0" containsBlank="1"/>
    </cacheField>
    <cacheField name="Labels7" numFmtId="0">
      <sharedItems containsNonDate="0" containsString="0" containsBlank="1"/>
    </cacheField>
    <cacheField name="Labels8" numFmtId="0">
      <sharedItems containsNonDate="0" containsString="0" containsBlank="1"/>
    </cacheField>
    <cacheField name="Labels9" numFmtId="0">
      <sharedItems containsNonDate="0" containsString="0" containsBlank="1"/>
    </cacheField>
    <cacheField name="Labels10" numFmtId="0">
      <sharedItems containsNonDate="0" containsString="0" containsBlank="1"/>
    </cacheField>
    <cacheField name="Sprint" numFmtId="0">
      <sharedItems containsMixedTypes="1" containsNumber="1" containsInteger="1" minValue="97" maxValue="97"/>
    </cacheField>
    <cacheField name="Labels0001" numFmtId="0">
      <sharedItems/>
    </cacheField>
    <cacheField name="Labels0002" numFmtId="0">
      <sharedItems/>
    </cacheField>
    <cacheField name="Assignee" numFmtId="0">
      <sharedItems/>
    </cacheField>
    <cacheField name="Project Key" numFmtId="0">
      <sharedItems/>
    </cacheField>
    <cacheField name="OrigEst" numFmtId="0">
      <sharedItems containsMixedTypes="1" containsNumber="1" containsInteger="1" minValue="12744000" maxValue="12744000"/>
    </cacheField>
    <cacheField name="RowType" numFmtId="0">
      <sharedItems/>
    </cacheField>
    <cacheField name="No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m/>
    <x v="0"/>
    <s v="FORMULA HOLDER"/>
    <m/>
    <s v="DO NOT DELETE, IT'S USED FOR THE CALCULATED COLUMNS AND AS REFERENCE IN CASE OF MISSING FORMULA"/>
    <x v="0"/>
    <x v="0"/>
    <m/>
    <x v="0"/>
    <m/>
    <m/>
    <m/>
    <m/>
    <s v=""/>
    <m/>
    <m/>
    <m/>
    <m/>
    <m/>
    <m/>
    <m/>
    <m/>
    <m/>
    <m/>
    <m/>
    <m/>
    <m/>
    <m/>
    <s v=""/>
    <s v=""/>
    <s v=""/>
    <s v=""/>
    <s v=""/>
    <s v=""/>
    <s v="SKIP"/>
    <m/>
  </r>
  <r>
    <s v="Highest"/>
    <x v="1"/>
    <s v="First Work Item"/>
    <m/>
    <m/>
    <x v="1"/>
    <x v="1"/>
    <s v="Development"/>
    <x v="1"/>
    <s v="1w 2d 3h"/>
    <m/>
    <m/>
    <m/>
    <s v="First Work Item"/>
    <m/>
    <m/>
    <m/>
    <s v="First Label"/>
    <s v="Second Label; Third Label"/>
    <s v="Another Label"/>
    <m/>
    <m/>
    <m/>
    <m/>
    <m/>
    <m/>
    <m/>
    <m/>
    <n v="97"/>
    <s v="imported"/>
    <s v="pod_test"/>
    <s v="712020:09876543212345678901"/>
    <s v="JITTP2"/>
    <n v="12744000"/>
    <s v="WorkItem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6BD75-A09D-4578-BB55-882D1F75C66E}" name="PT_Issues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2" firstHeaderRow="1" firstDataRow="1" firstDataCol="1"/>
  <pivotFields count="36">
    <pivotField showAll="0"/>
    <pivotField axis="axisRow" showAll="0">
      <items count="6">
        <item x="1"/>
        <item x="0"/>
        <item m="1" x="2"/>
        <item m="1" x="3"/>
        <item m="1" x="4"/>
        <item t="default"/>
      </items>
    </pivotField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8"/>
    <field x="1"/>
  </rowFields>
  <rowItems count="7">
    <i>
      <x/>
    </i>
    <i r="1">
      <x/>
    </i>
    <i r="2">
      <x v="1"/>
    </i>
    <i>
      <x v="1"/>
    </i>
    <i r="1">
      <x v="1"/>
    </i>
    <i r="2">
      <x/>
    </i>
    <i t="grand">
      <x/>
    </i>
  </rowItems>
  <colItems count="1">
    <i/>
  </colItems>
  <dataFields count="1">
    <dataField name="Coun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1C4D6-0F40-4FC0-8FE0-7829E37288EB}" name="PT_Assignees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5:E10" firstHeaderRow="1" firstDataRow="1" firstDataCol="1" rowPageCount="1" colPageCount="1"/>
  <pivotFields count="36">
    <pivotField showAll="0"/>
    <pivotField axis="axisRow" showAll="0">
      <items count="6">
        <item x="1"/>
        <item x="0"/>
        <item m="1" x="2"/>
        <item m="1" x="3"/>
        <item m="1" x="4"/>
        <item t="default"/>
      </items>
    </pivotField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6"/>
  </rowFields>
  <rowItems count="5">
    <i>
      <x/>
    </i>
    <i r="1">
      <x v="1"/>
    </i>
    <i>
      <x v="1"/>
    </i>
    <i r="1">
      <x/>
    </i>
    <i t="grand">
      <x/>
    </i>
  </rowItems>
  <colItems count="1">
    <i/>
  </colItems>
  <pageFields count="1">
    <pageField fld="5" hier="-1"/>
  </pageFields>
  <dataFields count="1">
    <dataField name="Count" fld="2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FCFD5-1AB1-4076-B5DD-E2B69F5EB3F2}" name="JiraDataset" displayName="JiraDataset" ref="A1:AJ42" totalsRowShown="0" headerRowDxfId="56" dataDxfId="55">
  <autoFilter ref="A1:AJ42" xr:uid="{933FCFD5-1AB1-4076-B5DD-E2B69F5EB3F2}"/>
  <tableColumns count="36">
    <tableColumn id="3" xr3:uid="{AF2EC907-349C-4651-852D-6E39C61E17FF}" name="Priority" dataDxfId="54"/>
    <tableColumn id="2" xr3:uid="{E90C51F2-4386-421F-A3E4-E2CA9D43D396}" name="IssueType" dataDxfId="53"/>
    <tableColumn id="1" xr3:uid="{BBAD373B-BA13-47E4-9F74-565F4D9E9680}" name="Summary" dataDxfId="52"/>
    <tableColumn id="4" xr3:uid="{026E5B97-FAFC-4E46-860E-0B0C976B1148}" name="Issue Key" dataDxfId="51"/>
    <tableColumn id="5" xr3:uid="{A2C262E8-D544-4669-99F1-151EDE081654}" name="Description" dataDxfId="50"/>
    <tableColumn id="7" xr3:uid="{0FAD1ACC-432E-462C-8B89-71540710BCB5}" name="FixVersion" dataDxfId="49">
      <calculatedColumnFormula>'Config - Mappings'!$J$4</calculatedColumnFormula>
    </tableColumn>
    <tableColumn id="28" xr3:uid="{07F3030C-7187-4B16-BBDB-798304851975}" name="Assignee.Name" dataDxfId="48"/>
    <tableColumn id="8" xr3:uid="{8C7FB8DB-A85B-4189-93D8-0F0D4EEEF81B}" name="Component" dataDxfId="47"/>
    <tableColumn id="9" xr3:uid="{DC5101A8-1204-44D2-BC2C-FEE1A4EFE7C1}" name="Sprint Name" dataDxfId="46"/>
    <tableColumn id="40" xr3:uid="{1F406792-7ED2-4476-8FF4-4C6ABA231C97}" name="Estimate" dataDxfId="45"/>
    <tableColumn id="10" xr3:uid="{70B7C471-B624-430B-8992-4711F27BB17E}" name="Issue ID" dataDxfId="44"/>
    <tableColumn id="30" xr3:uid="{938D6CA2-8309-4146-9B62-E8CDFAB7B1C9}" name="Parent" dataDxfId="43"/>
    <tableColumn id="11" xr3:uid="{594BD56F-7D1D-408F-BEDC-6BB9854C71A1}" name="Epic Link" dataDxfId="42"/>
    <tableColumn id="33" xr3:uid="{3A94D4B2-1A5B-4BBF-B398-E56D2BB7F948}" name="Epic Name" dataDxfId="41">
      <calculatedColumnFormula>IF(JiraDataset[[#This Row],[IssueType]]="Epic",JiraDataset[[#This Row],[Summary]],"")</calculatedColumnFormula>
    </tableColumn>
    <tableColumn id="27" xr3:uid="{911C8FDC-5528-43FC-BDF4-D4761F03C0E5}" name="Child-Issue" dataDxfId="40"/>
    <tableColumn id="41" xr3:uid="{AB248E07-9BFA-42CC-BC41-B4234F677BFB}" name="Child-Issue1" dataDxfId="39"/>
    <tableColumn id="29" xr3:uid="{89D12135-F3E3-4253-844F-1B9A54169953}" name="Child-Issue2" dataDxfId="38"/>
    <tableColumn id="12" xr3:uid="{0699B70E-673B-4238-8A66-12FC943A4812}" name="Labels" dataDxfId="37"/>
    <tableColumn id="13" xr3:uid="{9840B81F-2CA6-4708-8C93-3E7C8F72A676}" name="Labels1" dataDxfId="36"/>
    <tableColumn id="14" xr3:uid="{D4A99C0B-46B7-484A-842E-D62E9D5D9341}" name="Labels2" dataDxfId="35"/>
    <tableColumn id="15" xr3:uid="{1D1C275E-5C65-4393-9663-6C5F617591E1}" name="Labels3" dataDxfId="34"/>
    <tableColumn id="16" xr3:uid="{D823FA91-7106-42D3-9DBC-B337C509EB09}" name="Labels4" dataDxfId="33"/>
    <tableColumn id="17" xr3:uid="{05A07F85-1763-4A66-9CBB-4A760BD03D27}" name="Labels5" dataDxfId="32"/>
    <tableColumn id="18" xr3:uid="{16B98070-7F8A-4FC7-AD99-EA81D0BD26AB}" name="Labels6" dataDxfId="31"/>
    <tableColumn id="19" xr3:uid="{016EAEF4-8EA9-408B-9F1A-ECFB17E81C77}" name="Labels7" dataDxfId="30"/>
    <tableColumn id="26" xr3:uid="{8263F9EC-BF0A-46F7-BA83-6083A4262B91}" name="Labels8" dataDxfId="29"/>
    <tableColumn id="20" xr3:uid="{389B11C5-1B22-48C0-BCA2-72F050425FA1}" name="Labels9" dataDxfId="28"/>
    <tableColumn id="25" xr3:uid="{AE95F8A2-F7F0-4985-9AE6-4201B9792775}" name="Labels10" dataDxfId="27"/>
    <tableColumn id="21" xr3:uid="{105F2D0F-70C1-4517-A55F-4C1DDFE85301}" name="Sprint" dataDxfId="26">
      <calculatedColumnFormula>IF(JiraDataset[[#This Row],[RowType]]=cfg_type_skip,"",IFERROR(VLOOKUP(JiraDataset[[#This Row],[Sprint Name]], 'Config - Mappings'!$G$4:$H$8, 2, FALSE), ""))</calculatedColumnFormula>
    </tableColumn>
    <tableColumn id="22" xr3:uid="{D5984986-D838-4F87-A554-5DC4CA005452}" name="Labels0001" dataDxfId="25">
      <calculatedColumnFormula>IF(JiraDataset[[#This Row],[RowType]]=cfg_type_skip,"",_xlfn.XLOOKUP("Creation Marker", CfgMisc[Name], CfgMisc[Value],"",1))</calculatedColumnFormula>
    </tableColumn>
    <tableColumn id="39" xr3:uid="{C24E9ADD-96A8-4DBB-86A0-08D41975D750}" name="Labels0002" dataDxfId="24">
      <calculatedColumnFormula>IF(JiraDataset[[#This Row],[RowType]]=cfg_type_skip,"",_xlfn.XLOOKUP("Work Group", CfgMisc[Name], CfgMisc[Value],"",1))</calculatedColumnFormula>
    </tableColumn>
    <tableColumn id="6" xr3:uid="{A6D8D5A6-43EE-415C-80C1-30372C7FE5BF}" name="Assignee" dataDxfId="23">
      <calculatedColumnFormula>IF(JiraDataset[[#This Row],[RowType]]=cfg_type_skip,"",IFERROR(VLOOKUP(JiraDataset[[#This Row],[Assignee.Name]], 'Config - Mappings'!$A$4:$B$26, 2, FALSE), ""))</calculatedColumnFormula>
    </tableColumn>
    <tableColumn id="23" xr3:uid="{51D4B5F4-C6D3-4EEC-8B1B-7BEC6E526A64}" name="Project Key" dataDxfId="22">
      <calculatedColumnFormula>IF(JiraDataset[[#This Row],[RowType]]=cfg_type_skip,"",_xlfn.XLOOKUP("jira.project.key", CfgBasic[Name], CfgBasic[Value]))</calculatedColumnFormula>
    </tableColumn>
    <tableColumn id="42" xr3:uid="{82B78F0D-CAEF-4615-B12A-B15ACF33913C}" name="OrigEst" dataDxfId="21">
      <calculatedColumnFormula array="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calculatedColumnFormula>
    </tableColumn>
    <tableColumn id="44" xr3:uid="{C92FD7EC-0EAB-4967-A0E5-D2427E3A55B4}" name="RowType" dataDxfId="20">
      <calculatedColumnFormula array="1">IFERROR(
    _xlfn.IFS(
        JiraDataset[[#This Row],[IssueType]] = cfg_type_comment,"SKIP",
        JiraDataset[[#This Row],[IssueType]] = cfg_type_skip,"SKIP",
        JiraDataset[[#This Row],[IssueType]] = cfg_type_note,"SKIP"
    ),
    cfg_type_workitem
)</calculatedColumnFormula>
    </tableColumn>
    <tableColumn id="24" xr3:uid="{B63E8FC4-20B3-4755-92F2-EA1F700CA72E}" name="Note" dataDxfId="19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CF7FAD4-D3B7-4562-A661-5D91C2A8A1B9}" name="HelpConfigIndex" displayName="HelpConfigIndex" ref="A21:C38">
  <autoFilter ref="A21:C38" xr:uid="{4CF7FAD4-D3B7-4562-A661-5D91C2A8A1B9}"/>
  <tableColumns count="3">
    <tableColumn id="1" xr3:uid="{D57202B0-DF85-4C24-A339-6F865B1E0500}" name="Name" totalsRowLabel="Total"/>
    <tableColumn id="2" xr3:uid="{AE7AA29C-DBC5-4399-93DC-D9BC940551D6}" name="Type"/>
    <tableColumn id="3" xr3:uid="{6EDE763F-199E-4DE0-A35C-CA4CA3FC9978}" name="Description" totalsRowFunction="count"/>
  </tableColumns>
  <tableStyleInfo name="TableStyleMedium5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83560BC-B1F2-44B6-B877-188131EFA163}" name="CfgBasic" displayName="CfgBasic" ref="A3:C7" totalsRowShown="0">
  <autoFilter ref="A3:C7" xr:uid="{383560BC-B1F2-44B6-B877-188131EFA163}"/>
  <tableColumns count="3">
    <tableColumn id="1" xr3:uid="{D4E1611F-A2CF-465D-A219-1759EA66687D}" name="Name"/>
    <tableColumn id="2" xr3:uid="{174D0D86-B1AA-4BF7-AC91-FCACFC898851}" name="Value"/>
    <tableColumn id="3" xr3:uid="{4D0493E3-2ED0-412B-9468-835FC91C2910}" name="Note" dataDxfId="18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8150C2B-D36B-4921-9D4F-3DB5102443F4}" name="CfgMisc" displayName="CfgMisc" ref="E3:G5" totalsRowShown="0">
  <autoFilter ref="E3:G5" xr:uid="{38150C2B-D36B-4921-9D4F-3DB5102443F4}"/>
  <tableColumns count="3">
    <tableColumn id="1" xr3:uid="{19232286-858A-4316-B524-2259E904D535}" name="Name"/>
    <tableColumn id="2" xr3:uid="{E6137B31-22A5-4579-8A81-0FBB4015A668}" name="Value"/>
    <tableColumn id="3" xr3:uid="{03DA91C8-48E1-4BFC-B993-8C1071BAA534}" name="Note" dataDxfId="17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F5833D-4918-4C71-A990-1B275126361D}" name="CfgAssignees" displayName="CfgAssignees" ref="A3:B9" totalsRowShown="0">
  <autoFilter ref="A3:B9" xr:uid="{1EF5833D-4918-4C71-A990-1B275126361D}"/>
  <tableColumns count="2">
    <tableColumn id="1" xr3:uid="{7F7B4E10-E51C-443F-875D-3E6A9FD9994C}" name="Assignee.Name"/>
    <tableColumn id="2" xr3:uid="{3A4C6F03-89A9-4E38-8288-00D055D51CD3}" name="Assignee.ID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674B63-54C8-47AC-9FF0-4034C2D499BA}" name="CfgSprints" displayName="CfgSprints" ref="G3:H5" totalsRowShown="0">
  <autoFilter ref="G3:H5" xr:uid="{72674B63-54C8-47AC-9FF0-4034C2D499BA}"/>
  <tableColumns count="2">
    <tableColumn id="1" xr3:uid="{397B719B-4CC6-4F47-8F3C-168F13ED56DA}" name="Sprint.Name"/>
    <tableColumn id="2" xr3:uid="{2FD208E7-540E-4D07-9144-6E9F3065D9DE}" name="Sprint.ID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F2D14D-2ABD-4171-895D-1041B0893491}" name="CfgComponents" displayName="CfgComponents" ref="J22:J32" totalsRowShown="0">
  <autoFilter ref="J22:J32" xr:uid="{93F2D14D-2ABD-4171-895D-1041B0893491}"/>
  <tableColumns count="1">
    <tableColumn id="1" xr3:uid="{10F6CCA4-1068-4FC8-AB82-E48B87DB0F71}" name="Component.Name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07FF9D-9384-422B-8DB3-300D782E5FE6}" name="CfgFixVersions" displayName="CfgFixVersions" ref="J3:J7" totalsRowShown="0">
  <autoFilter ref="J3:J7" xr:uid="{7007FF9D-9384-422B-8DB3-300D782E5FE6}"/>
  <tableColumns count="1">
    <tableColumn id="1" xr3:uid="{E20FAA91-E54E-42EA-9BFF-2FDA27CD5D33}" name="FixVersion.Name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085B8C-1322-4F43-A516-588923936259}" name="CfgIssueTypes" displayName="CfgIssueTypes" ref="L3:M9" totalsRowShown="0">
  <autoFilter ref="L3:M9" xr:uid="{6F085B8C-1322-4F43-A516-588923936259}"/>
  <tableColumns count="2">
    <tableColumn id="1" xr3:uid="{A92436BC-3156-493F-B5C6-0BB6B51F89EB}" name="IssueType.Name"/>
    <tableColumn id="2" xr3:uid="{0145674E-DAAD-43B8-B2CC-5CA416CFAC15}" name="IssueType.Level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C0EE44-3F60-4588-BF11-75C3DD021846}" name="CfgPriorities" displayName="CfgPriorities" ref="L22:L28" totalsRowShown="0">
  <autoFilter ref="L22:L28" xr:uid="{A6C0EE44-3F60-4588-BF11-75C3DD021846}"/>
  <tableColumns count="1">
    <tableColumn id="1" xr3:uid="{3B3BE2ED-38C4-410B-B0BF-4A9BD9B4B974}" name="Priority.Name" dataDxfId="57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352608-207B-4EFC-9BD3-2BD6976D373F}" name="CfgTeams" displayName="CfgTeams" ref="D3:E9" totalsRowShown="0">
  <autoFilter ref="D3:E9" xr:uid="{DE352608-207B-4EFC-9BD3-2BD6976D373F}"/>
  <tableColumns count="2">
    <tableColumn id="1" xr3:uid="{59E7B951-2640-4BEF-926D-11574E54F447}" name="Team.Name"/>
    <tableColumn id="2" xr3:uid="{1C40E406-7D3C-45A3-AAA3-B5BBB7E9C3AA}" name="Team.ID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F57F46-4709-4A78-8D88-CD75C743FE14}" name="CfgCustomFields" displayName="CfgCustomFields" ref="E3:H4" insertRow="1" totalsRowShown="0">
  <autoFilter ref="E3:H4" xr:uid="{71F57F46-4709-4A78-8D88-CD75C743FE14}"/>
  <tableColumns count="4">
    <tableColumn id="1" xr3:uid="{4E62A8D1-901A-4C3B-920B-726A6F2C172C}" name="Name"/>
    <tableColumn id="2" xr3:uid="{F3AA6FE2-2D0B-4D90-9B62-6DA6E107F572}" name="Id"/>
    <tableColumn id="3" xr3:uid="{03E85F79-E545-4DE1-BB57-78DD4C204950}" name="Type"/>
    <tableColumn id="4" xr3:uid="{0DFFBB93-31B4-4A07-8E68-6E8B5459921F}" name="Format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D9702EA-2B70-48D5-9751-0E7EE797E8EA}" name="CfgAdvanced" displayName="CfgAdvanced" ref="A3:C5" totalsRowShown="0">
  <autoFilter ref="A3:C5" xr:uid="{9D9702EA-2B70-48D5-9751-0E7EE797E8EA}"/>
  <tableColumns count="3">
    <tableColumn id="1" xr3:uid="{724752C0-2EB0-4307-9766-E95D142383BC}" name="Name"/>
    <tableColumn id="2" xr3:uid="{1B4D7FE1-60C9-4319-8B9F-E66C19764AEE}" name="Value"/>
    <tableColumn id="3" xr3:uid="{F0634D25-384E-480B-B675-9F8463C0D844}" name="Note" dataDxfId="16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005E3D-BA9F-4D26-A56C-4151B34975FF}" name="CfgSettings" displayName="CfgSettings" ref="C3:D5" totalsRowShown="0">
  <autoFilter ref="C3:D5" xr:uid="{90005E3D-BA9F-4D26-A56C-4151B34975FF}"/>
  <tableColumns count="2">
    <tableColumn id="1" xr3:uid="{E0096D15-ADBC-421F-B3CE-D2623A82607B}" name="Name"/>
    <tableColumn id="2" xr3:uid="{2D5340B8-2BBA-4246-AFA3-AEAEB82E86E7}" name="Value"/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14BC62-4B02-455C-8FA9-EA9D419E6479}" name="CfgAutofieldValues" displayName="CfgAutofieldValues" ref="F3:G4" totalsRowShown="0">
  <autoFilter ref="F3:G4" xr:uid="{6414BC62-4B02-455C-8FA9-EA9D419E6479}"/>
  <tableColumns count="2">
    <tableColumn id="1" xr3:uid="{205AB52C-1011-4041-96AB-F899A16B0898}" name="Name"/>
    <tableColumn id="2" xr3:uid="{83DA461F-6B03-42DB-A279-D09FE4A49A5E}" name="Value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ABE2B38-573A-4A51-8D54-C217B9D7D54F}" name="CfgIgnoreList" displayName="CfgIgnoreList" ref="I3:I7" totalsRowShown="0">
  <autoFilter ref="I3:I7" xr:uid="{0ABE2B38-573A-4A51-8D54-C217B9D7D54F}"/>
  <tableColumns count="1">
    <tableColumn id="1" xr3:uid="{1396737E-05D6-4D62-AF56-4B039C3A3607}" name="IgnoreList.Nam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DeerHide/jira-toolkit?tab=MIT-1-ov-file" TargetMode="External"/><Relationship Id="rId2" Type="http://schemas.openxmlformats.org/officeDocument/2006/relationships/hyperlink" Target="https://github.com/DeerHide/jira-toolkit" TargetMode="External"/><Relationship Id="rId1" Type="http://schemas.openxmlformats.org/officeDocument/2006/relationships/hyperlink" Target="https://github.com/DeerHide/jira-toolkit/blob/main/README.md" TargetMode="External"/><Relationship Id="rId6" Type="http://schemas.openxmlformats.org/officeDocument/2006/relationships/table" Target="../tables/table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deerhide.ru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058B-F76D-4AAE-8108-6C4469E9D8B5}">
  <sheetPr>
    <tabColor theme="4"/>
  </sheetPr>
  <dimension ref="A1:AL42"/>
  <sheetViews>
    <sheetView showGridLines="0" tabSelected="1" workbookViewId="0">
      <selection activeCell="J16" sqref="J16"/>
    </sheetView>
  </sheetViews>
  <sheetFormatPr defaultRowHeight="15" outlineLevelCol="1" x14ac:dyDescent="0.25"/>
  <cols>
    <col min="1" max="2" width="12.42578125" bestFit="1" customWidth="1"/>
    <col min="3" max="3" width="31.7109375" customWidth="1"/>
    <col min="4" max="4" width="26.42578125" hidden="1" customWidth="1"/>
    <col min="5" max="5" width="39.42578125" customWidth="1"/>
    <col min="6" max="6" width="14.28515625" customWidth="1"/>
    <col min="7" max="7" width="17.42578125" bestFit="1" customWidth="1"/>
    <col min="8" max="8" width="22.5703125" customWidth="1"/>
    <col min="9" max="9" width="16.42578125" customWidth="1"/>
    <col min="10" max="11" width="14.42578125" bestFit="1" customWidth="1"/>
    <col min="12" max="12" width="14.28515625" customWidth="1"/>
    <col min="13" max="13" width="14.42578125" customWidth="1"/>
    <col min="14" max="14" width="14.28515625" customWidth="1"/>
    <col min="15" max="15" width="0" hidden="1" customWidth="1"/>
    <col min="16" max="16" width="22.28515625" hidden="1" customWidth="1"/>
    <col min="17" max="17" width="12.85546875" hidden="1" customWidth="1"/>
    <col min="18" max="24" width="14.28515625" customWidth="1"/>
    <col min="25" max="28" width="14.28515625" hidden="1" customWidth="1" outlineLevel="1"/>
    <col min="29" max="30" width="10" hidden="1" customWidth="1" outlineLevel="1"/>
    <col min="31" max="31" width="10" customWidth="1" collapsed="1"/>
    <col min="32" max="32" width="28.140625" hidden="1" customWidth="1" outlineLevel="1"/>
    <col min="33" max="33" width="15.85546875" hidden="1" customWidth="1" outlineLevel="1"/>
    <col min="34" max="34" width="14" hidden="1" customWidth="1" outlineLevel="1"/>
    <col min="35" max="35" width="12.5703125" hidden="1" customWidth="1" outlineLevel="1"/>
    <col min="36" max="37" width="13.7109375" hidden="1" customWidth="1" outlineLevel="1"/>
    <col min="38" max="38" width="36.5703125" bestFit="1" customWidth="1" collapsed="1"/>
    <col min="40" max="40" width="18.7109375" customWidth="1"/>
    <col min="41" max="41" width="87.28515625" customWidth="1"/>
  </cols>
  <sheetData>
    <row r="1" spans="1:36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78</v>
      </c>
      <c r="M1" s="3" t="s">
        <v>11</v>
      </c>
      <c r="N1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4" t="s">
        <v>32</v>
      </c>
      <c r="AI1" s="4" t="s">
        <v>42</v>
      </c>
      <c r="AJ1" s="3" t="s">
        <v>33</v>
      </c>
    </row>
    <row r="2" spans="1:36" x14ac:dyDescent="0.25">
      <c r="A2" s="3"/>
      <c r="B2" s="3" t="s">
        <v>33</v>
      </c>
      <c r="C2" s="3" t="s">
        <v>35</v>
      </c>
      <c r="D2" s="3"/>
      <c r="E2" s="3" t="s">
        <v>178</v>
      </c>
      <c r="F2" s="3"/>
      <c r="G2" s="3"/>
      <c r="H2" s="3"/>
      <c r="I2" s="3"/>
      <c r="J2" s="3"/>
      <c r="K2" s="3"/>
      <c r="L2" s="3"/>
      <c r="M2" s="3"/>
      <c r="N2" s="3" t="str">
        <f>IF(JiraDataset[[#This Row],[IssueType]]="Epic",JiraDataset[[#This Row],[Summary]],"")</f>
        <v/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tr">
        <f>IF(JiraDataset[[#This Row],[RowType]]=cfg_type_skip,"",IFERROR(VLOOKUP(JiraDataset[[#This Row],[Sprint Name]], 'Config - Mappings'!$G$4:$H$8, 2, FALSE), ""))</f>
        <v/>
      </c>
      <c r="AD2" s="3" t="str">
        <f>IF(JiraDataset[[#This Row],[RowType]]=cfg_type_skip,"",_xlfn.XLOOKUP("Creation Marker", CfgMisc[Name], CfgMisc[Value],"",1))</f>
        <v/>
      </c>
      <c r="AE2" s="3" t="str">
        <f>IF(JiraDataset[[#This Row],[RowType]]=cfg_type_skip,"",_xlfn.XLOOKUP("Work Group", CfgMisc[Name], CfgMisc[Value],"",1))</f>
        <v/>
      </c>
      <c r="AF2" s="3" t="str">
        <f>IF(JiraDataset[[#This Row],[RowType]]=cfg_type_skip,"",IFERROR(VLOOKUP(JiraDataset[[#This Row],[Assignee.Name]], 'Config - Mappings'!$A$4:$B$26, 2, FALSE), ""))</f>
        <v/>
      </c>
      <c r="AG2" s="3" t="str">
        <f>IF(JiraDataset[[#This Row],[RowType]]=cfg_type_skip,"",_xlfn.XLOOKUP("jira.project.key", CfgBasic[Name], CfgBasic[Value]))</f>
        <v/>
      </c>
      <c r="AH2" s="3" t="str" cm="1">
        <f t="array" ref="AH2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/>
      </c>
      <c r="AI2" s="3" t="str" cm="1">
        <f t="array" ref="AI2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SKIP</v>
      </c>
      <c r="AJ2" s="3"/>
    </row>
    <row r="3" spans="1:36" x14ac:dyDescent="0.25">
      <c r="A3" s="3" t="s">
        <v>81</v>
      </c>
      <c r="B3" s="3" t="s">
        <v>183</v>
      </c>
      <c r="C3" s="3" t="s">
        <v>189</v>
      </c>
      <c r="D3" s="3"/>
      <c r="E3" s="3" t="s">
        <v>229</v>
      </c>
      <c r="F3" s="3" t="s">
        <v>158</v>
      </c>
      <c r="G3" s="3" t="s">
        <v>148</v>
      </c>
      <c r="H3" s="3"/>
      <c r="I3" s="3"/>
      <c r="J3" s="3" t="s">
        <v>279</v>
      </c>
      <c r="K3" s="3">
        <v>1</v>
      </c>
      <c r="L3" s="3"/>
      <c r="M3" s="3"/>
      <c r="N3" s="3" t="str">
        <f>IF(JiraDataset[[#This Row],[IssueType]]="Epic",JiraDataset[[#This Row],[Summary]],"")</f>
        <v/>
      </c>
      <c r="O3" s="3"/>
      <c r="P3" s="3"/>
      <c r="Q3" s="3"/>
      <c r="R3" s="3" t="s">
        <v>160</v>
      </c>
      <c r="S3" s="3" t="s">
        <v>161</v>
      </c>
      <c r="T3" s="3" t="s">
        <v>162</v>
      </c>
      <c r="U3" s="3"/>
      <c r="V3" s="3"/>
      <c r="W3" s="3"/>
      <c r="X3" s="3"/>
      <c r="Y3" s="3"/>
      <c r="Z3" s="3"/>
      <c r="AA3" s="3"/>
      <c r="AB3" s="3"/>
      <c r="AC3" s="3" t="str">
        <f>IF(JiraDataset[[#This Row],[RowType]]=cfg_type_skip,"",IFERROR(VLOOKUP(JiraDataset[[#This Row],[Sprint Name]], 'Config - Mappings'!$G$4:$H$8, 2, FALSE), ""))</f>
        <v/>
      </c>
      <c r="AD3" s="3" t="str">
        <f>IF(JiraDataset[[#This Row],[RowType]]=cfg_type_skip,"",_xlfn.XLOOKUP("Creation Marker", CfgMisc[Name], CfgMisc[Value],"",1))</f>
        <v>imported</v>
      </c>
      <c r="AE3" s="3" t="str">
        <f>IF(JiraDataset[[#This Row],[RowType]]=cfg_type_skip,"",_xlfn.XLOOKUP("Work Group", CfgMisc[Name], CfgMisc[Value],"",1))</f>
        <v>pod_test</v>
      </c>
      <c r="AF3" s="3" t="str">
        <f>IF(JiraDataset[[#This Row],[RowType]]=cfg_type_skip,"",IFERROR(VLOOKUP(JiraDataset[[#This Row],[Assignee.Name]], 'Config - Mappings'!$A$4:$B$26, 2, FALSE), ""))</f>
        <v>712020:09876543212345678901</v>
      </c>
      <c r="AG3" s="3" t="str">
        <f>IF(JiraDataset[[#This Row],[RowType]]=cfg_type_skip,"",_xlfn.XLOOKUP("jira.project.key", CfgBasic[Name], CfgBasic[Value]))</f>
        <v>JITTP2</v>
      </c>
      <c r="AH3" s="3" cm="1">
        <f t="array" ref="AH3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17280000</v>
      </c>
      <c r="AI3" s="3" t="str" cm="1">
        <f t="array" ref="AI3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3" s="3"/>
    </row>
    <row r="4" spans="1:36" x14ac:dyDescent="0.25">
      <c r="A4" s="3" t="s">
        <v>37</v>
      </c>
      <c r="B4" s="3" t="s">
        <v>184</v>
      </c>
      <c r="C4" s="3" t="s">
        <v>190</v>
      </c>
      <c r="D4" s="3"/>
      <c r="E4" s="3" t="s">
        <v>230</v>
      </c>
      <c r="F4" s="3" t="s">
        <v>158</v>
      </c>
      <c r="G4" s="3" t="s">
        <v>149</v>
      </c>
      <c r="H4" s="3" t="s">
        <v>269</v>
      </c>
      <c r="I4" s="3"/>
      <c r="J4" s="3" t="s">
        <v>280</v>
      </c>
      <c r="K4" s="3">
        <v>2</v>
      </c>
      <c r="L4" s="3">
        <v>1</v>
      </c>
      <c r="M4" s="3"/>
      <c r="N4" s="3" t="str">
        <f>IF(JiraDataset[[#This Row],[IssueType]]="Epic",JiraDataset[[#This Row],[Summary]],"")</f>
        <v>Customer Onboarding Revamp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tr">
        <f>IF(JiraDataset[[#This Row],[RowType]]=cfg_type_skip,"",IFERROR(VLOOKUP(JiraDataset[[#This Row],[Sprint Name]], 'Config - Mappings'!$G$4:$H$8, 2, FALSE), ""))</f>
        <v/>
      </c>
      <c r="AD4" s="3" t="str">
        <f>IF(JiraDataset[[#This Row],[RowType]]=cfg_type_skip,"",_xlfn.XLOOKUP("Creation Marker", CfgMisc[Name], CfgMisc[Value],"",1))</f>
        <v>imported</v>
      </c>
      <c r="AE4" s="3" t="str">
        <f>IF(JiraDataset[[#This Row],[RowType]]=cfg_type_skip,"",_xlfn.XLOOKUP("Work Group", CfgMisc[Name], CfgMisc[Value],"",1))</f>
        <v>pod_test</v>
      </c>
      <c r="AF4" s="3" t="str">
        <f>IF(JiraDataset[[#This Row],[RowType]]=cfg_type_skip,"",IFERROR(VLOOKUP(JiraDataset[[#This Row],[Assignee.Name]], 'Config - Mappings'!$A$4:$B$26, 2, FALSE), ""))</f>
        <v>712020:09876543212345678902</v>
      </c>
      <c r="AG4" s="3" t="str">
        <f>IF(JiraDataset[[#This Row],[RowType]]=cfg_type_skip,"",_xlfn.XLOOKUP("jira.project.key", CfgBasic[Name], CfgBasic[Value]))</f>
        <v>JITTP2</v>
      </c>
      <c r="AH4" s="3" cm="1">
        <f t="array" ref="AH4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I4" s="3" t="str" cm="1">
        <f t="array" ref="AI4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4" s="3"/>
    </row>
    <row r="5" spans="1:36" x14ac:dyDescent="0.25">
      <c r="A5" s="3" t="s">
        <v>46</v>
      </c>
      <c r="B5" s="3" t="s">
        <v>185</v>
      </c>
      <c r="C5" s="3" t="s">
        <v>191</v>
      </c>
      <c r="D5" s="3"/>
      <c r="E5" s="3" t="s">
        <v>231</v>
      </c>
      <c r="F5" s="3" t="s">
        <v>158</v>
      </c>
      <c r="G5" s="3" t="s">
        <v>150</v>
      </c>
      <c r="H5" s="3" t="s">
        <v>270</v>
      </c>
      <c r="I5" s="3"/>
      <c r="J5" s="3" t="s">
        <v>281</v>
      </c>
      <c r="K5" s="3">
        <v>3</v>
      </c>
      <c r="L5" s="3">
        <v>2</v>
      </c>
      <c r="M5" s="3"/>
      <c r="N5" s="3" t="str">
        <f>IF(JiraDataset[[#This Row],[IssueType]]="Epic",JiraDataset[[#This Row],[Summary]],"")</f>
        <v/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 t="str">
        <f>IF(JiraDataset[[#This Row],[RowType]]=cfg_type_skip,"",IFERROR(VLOOKUP(JiraDataset[[#This Row],[Sprint Name]], 'Config - Mappings'!$G$4:$H$8, 2, FALSE), ""))</f>
        <v/>
      </c>
      <c r="AD5" s="3" t="str">
        <f>IF(JiraDataset[[#This Row],[RowType]]=cfg_type_skip,"",_xlfn.XLOOKUP("Creation Marker", CfgMisc[Name], CfgMisc[Value],"",1))</f>
        <v>imported</v>
      </c>
      <c r="AE5" s="3" t="str">
        <f>IF(JiraDataset[[#This Row],[RowType]]=cfg_type_skip,"",_xlfn.XLOOKUP("Work Group", CfgMisc[Name], CfgMisc[Value],"",1))</f>
        <v>pod_test</v>
      </c>
      <c r="AF5" s="3" t="str">
        <f>IF(JiraDataset[[#This Row],[RowType]]=cfg_type_skip,"",IFERROR(VLOOKUP(JiraDataset[[#This Row],[Assignee.Name]], 'Config - Mappings'!$A$4:$B$26, 2, FALSE), ""))</f>
        <v>712020:09876543212345678903</v>
      </c>
      <c r="AG5" s="3" t="str">
        <f>IF(JiraDataset[[#This Row],[RowType]]=cfg_type_skip,"",_xlfn.XLOOKUP("jira.project.key", CfgBasic[Name], CfgBasic[Value]))</f>
        <v>JITTP2</v>
      </c>
      <c r="AH5" s="3" cm="1">
        <f t="array" ref="AH5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I5" s="3" t="str" cm="1">
        <f t="array" ref="AI5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5" s="3"/>
    </row>
    <row r="6" spans="1:36" x14ac:dyDescent="0.25">
      <c r="A6" s="3" t="s">
        <v>81</v>
      </c>
      <c r="B6" s="3" t="s">
        <v>186</v>
      </c>
      <c r="C6" s="3" t="s">
        <v>192</v>
      </c>
      <c r="D6" s="3"/>
      <c r="E6" s="3" t="s">
        <v>232</v>
      </c>
      <c r="F6" s="3" t="s">
        <v>158</v>
      </c>
      <c r="G6" s="3" t="s">
        <v>151</v>
      </c>
      <c r="H6" s="3" t="s">
        <v>271</v>
      </c>
      <c r="I6" s="3"/>
      <c r="J6" s="3" t="s">
        <v>282</v>
      </c>
      <c r="K6" s="3">
        <v>4</v>
      </c>
      <c r="L6" s="3">
        <v>2</v>
      </c>
      <c r="M6" s="3"/>
      <c r="N6" s="3" t="str">
        <f>IF(JiraDataset[[#This Row],[IssueType]]="Epic",JiraDataset[[#This Row],[Summary]],"")</f>
        <v/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 t="str">
        <f>IF(JiraDataset[[#This Row],[RowType]]=cfg_type_skip,"",IFERROR(VLOOKUP(JiraDataset[[#This Row],[Sprint Name]], 'Config - Mappings'!$G$4:$H$8, 2, FALSE), ""))</f>
        <v/>
      </c>
      <c r="AD6" s="3" t="str">
        <f>IF(JiraDataset[[#This Row],[RowType]]=cfg_type_skip,"",_xlfn.XLOOKUP("Creation Marker", CfgMisc[Name], CfgMisc[Value],"",1))</f>
        <v>imported</v>
      </c>
      <c r="AE6" s="3" t="str">
        <f>IF(JiraDataset[[#This Row],[RowType]]=cfg_type_skip,"",_xlfn.XLOOKUP("Work Group", CfgMisc[Name], CfgMisc[Value],"",1))</f>
        <v>pod_test</v>
      </c>
      <c r="AF6" s="3" t="str">
        <f>IF(JiraDataset[[#This Row],[RowType]]=cfg_type_skip,"",IFERROR(VLOOKUP(JiraDataset[[#This Row],[Assignee.Name]], 'Config - Mappings'!$A$4:$B$26, 2, FALSE), ""))</f>
        <v>712020:09876543212345678904</v>
      </c>
      <c r="AG6" s="3" t="str">
        <f>IF(JiraDataset[[#This Row],[RowType]]=cfg_type_skip,"",_xlfn.XLOOKUP("jira.project.key", CfgBasic[Name], CfgBasic[Value]))</f>
        <v>JITTP2</v>
      </c>
      <c r="AH6" s="3" cm="1">
        <f t="array" ref="AH6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6912000</v>
      </c>
      <c r="AI6" s="3" t="str" cm="1">
        <f t="array" ref="AI6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6" s="3"/>
    </row>
    <row r="7" spans="1:36" x14ac:dyDescent="0.25">
      <c r="A7" s="3" t="s">
        <v>89</v>
      </c>
      <c r="B7" s="3" t="s">
        <v>187</v>
      </c>
      <c r="C7" s="3" t="s">
        <v>193</v>
      </c>
      <c r="D7" s="3"/>
      <c r="E7" s="3" t="s">
        <v>233</v>
      </c>
      <c r="F7" s="3" t="s">
        <v>158</v>
      </c>
      <c r="G7" s="3" t="s">
        <v>152</v>
      </c>
      <c r="H7" s="3" t="s">
        <v>271</v>
      </c>
      <c r="I7" s="3"/>
      <c r="J7" s="3" t="s">
        <v>283</v>
      </c>
      <c r="K7" s="3">
        <v>5</v>
      </c>
      <c r="L7" s="3">
        <v>2</v>
      </c>
      <c r="M7" s="3"/>
      <c r="N7" s="3" t="str">
        <f>IF(JiraDataset[[#This Row],[IssueType]]="Epic",JiraDataset[[#This Row],[Summary]],"")</f>
        <v/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 t="str">
        <f>IF(JiraDataset[[#This Row],[RowType]]=cfg_type_skip,"",IFERROR(VLOOKUP(JiraDataset[[#This Row],[Sprint Name]], 'Config - Mappings'!$G$4:$H$8, 2, FALSE), ""))</f>
        <v/>
      </c>
      <c r="AD7" s="3" t="str">
        <f>IF(JiraDataset[[#This Row],[RowType]]=cfg_type_skip,"",_xlfn.XLOOKUP("Creation Marker", CfgMisc[Name], CfgMisc[Value],"",1))</f>
        <v>imported</v>
      </c>
      <c r="AE7" s="3" t="str">
        <f>IF(JiraDataset[[#This Row],[RowType]]=cfg_type_skip,"",_xlfn.XLOOKUP("Work Group", CfgMisc[Name], CfgMisc[Value],"",1))</f>
        <v>pod_test</v>
      </c>
      <c r="AF7" s="3" t="str">
        <f>IF(JiraDataset[[#This Row],[RowType]]=cfg_type_skip,"",IFERROR(VLOOKUP(JiraDataset[[#This Row],[Assignee.Name]], 'Config - Mappings'!$A$4:$B$26, 2, FALSE), ""))</f>
        <v>712020:09876543212345678905</v>
      </c>
      <c r="AG7" s="3" t="str">
        <f>IF(JiraDataset[[#This Row],[RowType]]=cfg_type_skip,"",_xlfn.XLOOKUP("jira.project.key", CfgBasic[Name], CfgBasic[Value]))</f>
        <v>JITTP2</v>
      </c>
      <c r="AH7" s="3" cm="1">
        <f t="array" ref="AH7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1296000</v>
      </c>
      <c r="AI7" s="3" t="str" cm="1">
        <f t="array" ref="AI7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7" s="3"/>
    </row>
    <row r="8" spans="1:36" x14ac:dyDescent="0.25">
      <c r="A8" s="3" t="s">
        <v>90</v>
      </c>
      <c r="B8" s="3" t="s">
        <v>188</v>
      </c>
      <c r="C8" s="3" t="s">
        <v>194</v>
      </c>
      <c r="D8" s="3"/>
      <c r="E8" s="3" t="s">
        <v>234</v>
      </c>
      <c r="F8" s="3" t="s">
        <v>158</v>
      </c>
      <c r="G8" s="3" t="s">
        <v>148</v>
      </c>
      <c r="H8" s="3" t="s">
        <v>272</v>
      </c>
      <c r="I8" s="3"/>
      <c r="J8" s="3" t="s">
        <v>284</v>
      </c>
      <c r="K8" s="3">
        <v>6</v>
      </c>
      <c r="L8" s="3">
        <v>3</v>
      </c>
      <c r="M8" s="3"/>
      <c r="N8" s="3" t="str">
        <f>IF(JiraDataset[[#This Row],[IssueType]]="Epic",JiraDataset[[#This Row],[Summary]],"")</f>
        <v/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 t="str">
        <f>IF(JiraDataset[[#This Row],[RowType]]=cfg_type_skip,"",IFERROR(VLOOKUP(JiraDataset[[#This Row],[Sprint Name]], 'Config - Mappings'!$G$4:$H$8, 2, FALSE), ""))</f>
        <v/>
      </c>
      <c r="AD8" s="3" t="str">
        <f>IF(JiraDataset[[#This Row],[RowType]]=cfg_type_skip,"",_xlfn.XLOOKUP("Creation Marker", CfgMisc[Name], CfgMisc[Value],"",1))</f>
        <v>imported</v>
      </c>
      <c r="AE8" s="3" t="str">
        <f>IF(JiraDataset[[#This Row],[RowType]]=cfg_type_skip,"",_xlfn.XLOOKUP("Work Group", CfgMisc[Name], CfgMisc[Value],"",1))</f>
        <v>pod_test</v>
      </c>
      <c r="AF8" s="3" t="str">
        <f>IF(JiraDataset[[#This Row],[RowType]]=cfg_type_skip,"",IFERROR(VLOOKUP(JiraDataset[[#This Row],[Assignee.Name]], 'Config - Mappings'!$A$4:$B$26, 2, FALSE), ""))</f>
        <v>712020:09876543212345678901</v>
      </c>
      <c r="AG8" s="3" t="str">
        <f>IF(JiraDataset[[#This Row],[RowType]]=cfg_type_skip,"",_xlfn.XLOOKUP("jira.project.key", CfgBasic[Name], CfgBasic[Value]))</f>
        <v>JITTP2</v>
      </c>
      <c r="AH8" s="3" cm="1">
        <f t="array" ref="AH8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I8" s="3" t="str" cm="1">
        <f t="array" ref="AI8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8" s="3"/>
    </row>
    <row r="9" spans="1:36" x14ac:dyDescent="0.25">
      <c r="A9" s="3" t="s">
        <v>46</v>
      </c>
      <c r="B9" s="3" t="s">
        <v>36</v>
      </c>
      <c r="C9" s="3" t="s">
        <v>195</v>
      </c>
      <c r="D9" s="3"/>
      <c r="E9" s="3" t="s">
        <v>235</v>
      </c>
      <c r="F9" s="3" t="s">
        <v>158</v>
      </c>
      <c r="G9" s="3" t="s">
        <v>150</v>
      </c>
      <c r="H9" s="3" t="s">
        <v>273</v>
      </c>
      <c r="I9" s="3"/>
      <c r="J9" s="3" t="s">
        <v>284</v>
      </c>
      <c r="K9" s="3">
        <v>7</v>
      </c>
      <c r="L9" s="3">
        <v>2</v>
      </c>
      <c r="M9" s="3"/>
      <c r="N9" s="3" t="str">
        <f>IF(JiraDataset[[#This Row],[IssueType]]="Epic",JiraDataset[[#This Row],[Summary]],"")</f>
        <v/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 t="str">
        <f>IF(JiraDataset[[#This Row],[RowType]]=cfg_type_skip,"",IFERROR(VLOOKUP(JiraDataset[[#This Row],[Sprint Name]], 'Config - Mappings'!$G$4:$H$8, 2, FALSE), ""))</f>
        <v/>
      </c>
      <c r="AD9" s="3" t="str">
        <f>IF(JiraDataset[[#This Row],[RowType]]=cfg_type_skip,"",_xlfn.XLOOKUP("Creation Marker", CfgMisc[Name], CfgMisc[Value],"",1))</f>
        <v>imported</v>
      </c>
      <c r="AE9" s="3" t="str">
        <f>IF(JiraDataset[[#This Row],[RowType]]=cfg_type_skip,"",_xlfn.XLOOKUP("Work Group", CfgMisc[Name], CfgMisc[Value],"",1))</f>
        <v>pod_test</v>
      </c>
      <c r="AF9" s="3" t="str">
        <f>IF(JiraDataset[[#This Row],[RowType]]=cfg_type_skip,"",IFERROR(VLOOKUP(JiraDataset[[#This Row],[Assignee.Name]], 'Config - Mappings'!$A$4:$B$26, 2, FALSE), ""))</f>
        <v>712020:09876543212345678903</v>
      </c>
      <c r="AG9" s="3" t="str">
        <f>IF(JiraDataset[[#This Row],[RowType]]=cfg_type_skip,"",_xlfn.XLOOKUP("jira.project.key", CfgBasic[Name], CfgBasic[Value]))</f>
        <v>JITTP2</v>
      </c>
      <c r="AH9" s="3" cm="1">
        <f t="array" ref="AH9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I9" s="3" t="str" cm="1">
        <f t="array" ref="AI9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9" s="3"/>
    </row>
    <row r="10" spans="1:36" x14ac:dyDescent="0.25">
      <c r="A10" s="3" t="s">
        <v>81</v>
      </c>
      <c r="B10" s="3" t="s">
        <v>185</v>
      </c>
      <c r="C10" s="3" t="s">
        <v>196</v>
      </c>
      <c r="D10" s="3"/>
      <c r="E10" s="3" t="s">
        <v>236</v>
      </c>
      <c r="F10" s="3" t="s">
        <v>158</v>
      </c>
      <c r="G10" s="3" t="s">
        <v>150</v>
      </c>
      <c r="H10" s="3" t="s">
        <v>274</v>
      </c>
      <c r="I10" s="3"/>
      <c r="J10" s="3" t="s">
        <v>281</v>
      </c>
      <c r="K10" s="3">
        <v>8</v>
      </c>
      <c r="L10" s="3">
        <v>7</v>
      </c>
      <c r="M10" s="3"/>
      <c r="N10" s="3" t="str">
        <f>IF(JiraDataset[[#This Row],[IssueType]]="Epic",JiraDataset[[#This Row],[Summary]],"")</f>
        <v/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 t="str">
        <f>IF(JiraDataset[[#This Row],[RowType]]=cfg_type_skip,"",IFERROR(VLOOKUP(JiraDataset[[#This Row],[Sprint Name]], 'Config - Mappings'!$G$4:$H$8, 2, FALSE), ""))</f>
        <v/>
      </c>
      <c r="AD10" s="3" t="str">
        <f>IF(JiraDataset[[#This Row],[RowType]]=cfg_type_skip,"",_xlfn.XLOOKUP("Creation Marker", CfgMisc[Name], CfgMisc[Value],"",1))</f>
        <v>imported</v>
      </c>
      <c r="AE10" s="3" t="str">
        <f>IF(JiraDataset[[#This Row],[RowType]]=cfg_type_skip,"",_xlfn.XLOOKUP("Work Group", CfgMisc[Name], CfgMisc[Value],"",1))</f>
        <v>pod_test</v>
      </c>
      <c r="AF10" s="3" t="str">
        <f>IF(JiraDataset[[#This Row],[RowType]]=cfg_type_skip,"",IFERROR(VLOOKUP(JiraDataset[[#This Row],[Assignee.Name]], 'Config - Mappings'!$A$4:$B$26, 2, FALSE), ""))</f>
        <v>712020:09876543212345678903</v>
      </c>
      <c r="AG10" s="3" t="str">
        <f>IF(JiraDataset[[#This Row],[RowType]]=cfg_type_skip,"",_xlfn.XLOOKUP("jira.project.key", CfgBasic[Name], CfgBasic[Value]))</f>
        <v>JITTP2</v>
      </c>
      <c r="AH10" s="3" cm="1">
        <f t="array" ref="AH10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I10" s="3" t="str" cm="1">
        <f t="array" ref="AI10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10" s="3"/>
    </row>
    <row r="11" spans="1:36" x14ac:dyDescent="0.25">
      <c r="A11" s="3" t="s">
        <v>37</v>
      </c>
      <c r="B11" s="3" t="s">
        <v>186</v>
      </c>
      <c r="C11" s="3" t="s">
        <v>197</v>
      </c>
      <c r="D11" s="3"/>
      <c r="E11" s="3" t="s">
        <v>237</v>
      </c>
      <c r="F11" s="3" t="s">
        <v>158</v>
      </c>
      <c r="G11" s="3" t="s">
        <v>151</v>
      </c>
      <c r="H11" s="3" t="s">
        <v>274</v>
      </c>
      <c r="I11" s="3"/>
      <c r="J11" s="3" t="s">
        <v>285</v>
      </c>
      <c r="K11" s="3">
        <v>9</v>
      </c>
      <c r="L11" s="3">
        <v>7</v>
      </c>
      <c r="M11" s="3"/>
      <c r="N11" s="3" t="str">
        <f>IF(JiraDataset[[#This Row],[IssueType]]="Epic",JiraDataset[[#This Row],[Summary]],"")</f>
        <v/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 t="str">
        <f>IF(JiraDataset[[#This Row],[RowType]]=cfg_type_skip,"",IFERROR(VLOOKUP(JiraDataset[[#This Row],[Sprint Name]], 'Config - Mappings'!$G$4:$H$8, 2, FALSE), ""))</f>
        <v/>
      </c>
      <c r="AD11" s="3" t="str">
        <f>IF(JiraDataset[[#This Row],[RowType]]=cfg_type_skip,"",_xlfn.XLOOKUP("Creation Marker", CfgMisc[Name], CfgMisc[Value],"",1))</f>
        <v>imported</v>
      </c>
      <c r="AE11" s="3" t="str">
        <f>IF(JiraDataset[[#This Row],[RowType]]=cfg_type_skip,"",_xlfn.XLOOKUP("Work Group", CfgMisc[Name], CfgMisc[Value],"",1))</f>
        <v>pod_test</v>
      </c>
      <c r="AF11" s="3" t="str">
        <f>IF(JiraDataset[[#This Row],[RowType]]=cfg_type_skip,"",IFERROR(VLOOKUP(JiraDataset[[#This Row],[Assignee.Name]], 'Config - Mappings'!$A$4:$B$26, 2, FALSE), ""))</f>
        <v>712020:09876543212345678904</v>
      </c>
      <c r="AG11" s="3" t="str">
        <f>IF(JiraDataset[[#This Row],[RowType]]=cfg_type_skip,"",_xlfn.XLOOKUP("jira.project.key", CfgBasic[Name], CfgBasic[Value]))</f>
        <v>JITTP2</v>
      </c>
      <c r="AH11" s="3" cm="1">
        <f t="array" ref="AH1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</v>
      </c>
      <c r="AI11" s="3" t="str" cm="1">
        <f t="array" ref="AI11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11" s="3"/>
    </row>
    <row r="12" spans="1:36" x14ac:dyDescent="0.25">
      <c r="A12" s="3" t="s">
        <v>46</v>
      </c>
      <c r="B12" s="3" t="s">
        <v>187</v>
      </c>
      <c r="C12" s="3" t="s">
        <v>198</v>
      </c>
      <c r="D12" s="3"/>
      <c r="E12" s="3" t="s">
        <v>238</v>
      </c>
      <c r="F12" s="3" t="s">
        <v>158</v>
      </c>
      <c r="G12" s="3" t="s">
        <v>152</v>
      </c>
      <c r="H12" s="3" t="s">
        <v>274</v>
      </c>
      <c r="I12" s="3"/>
      <c r="J12" s="3" t="s">
        <v>286</v>
      </c>
      <c r="K12" s="3">
        <v>10</v>
      </c>
      <c r="L12" s="3">
        <v>7</v>
      </c>
      <c r="M12" s="3"/>
      <c r="N12" s="3" t="str">
        <f>IF(JiraDataset[[#This Row],[IssueType]]="Epic",JiraDataset[[#This Row],[Summary]],"")</f>
        <v/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 t="str">
        <f>IF(JiraDataset[[#This Row],[RowType]]=cfg_type_skip,"",IFERROR(VLOOKUP(JiraDataset[[#This Row],[Sprint Name]], 'Config - Mappings'!$G$4:$H$8, 2, FALSE), ""))</f>
        <v/>
      </c>
      <c r="AD12" s="3" t="str">
        <f>IF(JiraDataset[[#This Row],[RowType]]=cfg_type_skip,"",_xlfn.XLOOKUP("Creation Marker", CfgMisc[Name], CfgMisc[Value],"",1))</f>
        <v>imported</v>
      </c>
      <c r="AE12" s="3" t="str">
        <f>IF(JiraDataset[[#This Row],[RowType]]=cfg_type_skip,"",_xlfn.XLOOKUP("Work Group", CfgMisc[Name], CfgMisc[Value],"",1))</f>
        <v>pod_test</v>
      </c>
      <c r="AF12" s="3" t="str">
        <f>IF(JiraDataset[[#This Row],[RowType]]=cfg_type_skip,"",IFERROR(VLOOKUP(JiraDataset[[#This Row],[Assignee.Name]], 'Config - Mappings'!$A$4:$B$26, 2, FALSE), ""))</f>
        <v>712020:09876543212345678905</v>
      </c>
      <c r="AG12" s="3" t="str">
        <f>IF(JiraDataset[[#This Row],[RowType]]=cfg_type_skip,"",_xlfn.XLOOKUP("jira.project.key", CfgBasic[Name], CfgBasic[Value]))</f>
        <v>JITTP2</v>
      </c>
      <c r="AH12" s="3" cm="1">
        <f t="array" ref="AH12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</v>
      </c>
      <c r="AI12" s="3" t="str" cm="1">
        <f t="array" ref="AI12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12" s="3"/>
    </row>
    <row r="13" spans="1:36" x14ac:dyDescent="0.25">
      <c r="A13" s="3" t="s">
        <v>89</v>
      </c>
      <c r="B13" s="3" t="s">
        <v>188</v>
      </c>
      <c r="C13" s="3" t="s">
        <v>199</v>
      </c>
      <c r="D13" s="3"/>
      <c r="E13" s="3" t="s">
        <v>239</v>
      </c>
      <c r="F13" s="3" t="s">
        <v>158</v>
      </c>
      <c r="G13" s="3" t="s">
        <v>148</v>
      </c>
      <c r="H13" s="3" t="s">
        <v>272</v>
      </c>
      <c r="I13" s="3"/>
      <c r="J13" s="3" t="s">
        <v>283</v>
      </c>
      <c r="K13" s="3">
        <v>11</v>
      </c>
      <c r="L13" s="3">
        <v>9</v>
      </c>
      <c r="M13" s="3"/>
      <c r="N13" s="3" t="str">
        <f>IF(JiraDataset[[#This Row],[IssueType]]="Epic",JiraDataset[[#This Row],[Summary]],"")</f>
        <v/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 t="str">
        <f>IF(JiraDataset[[#This Row],[RowType]]=cfg_type_skip,"",IFERROR(VLOOKUP(JiraDataset[[#This Row],[Sprint Name]], 'Config - Mappings'!$G$4:$H$8, 2, FALSE), ""))</f>
        <v/>
      </c>
      <c r="AD13" s="3" t="str">
        <f>IF(JiraDataset[[#This Row],[RowType]]=cfg_type_skip,"",_xlfn.XLOOKUP("Creation Marker", CfgMisc[Name], CfgMisc[Value],"",1))</f>
        <v>imported</v>
      </c>
      <c r="AE13" s="3" t="str">
        <f>IF(JiraDataset[[#This Row],[RowType]]=cfg_type_skip,"",_xlfn.XLOOKUP("Work Group", CfgMisc[Name], CfgMisc[Value],"",1))</f>
        <v>pod_test</v>
      </c>
      <c r="AF13" s="3" t="str">
        <f>IF(JiraDataset[[#This Row],[RowType]]=cfg_type_skip,"",IFERROR(VLOOKUP(JiraDataset[[#This Row],[Assignee.Name]], 'Config - Mappings'!$A$4:$B$26, 2, FALSE), ""))</f>
        <v>712020:09876543212345678901</v>
      </c>
      <c r="AG13" s="3" t="str">
        <f>IF(JiraDataset[[#This Row],[RowType]]=cfg_type_skip,"",_xlfn.XLOOKUP("jira.project.key", CfgBasic[Name], CfgBasic[Value]))</f>
        <v>JITTP2</v>
      </c>
      <c r="AH13" s="3" cm="1">
        <f t="array" ref="AH13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1296000</v>
      </c>
      <c r="AI13" s="3" t="str" cm="1">
        <f t="array" ref="AI13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13" s="3"/>
    </row>
    <row r="14" spans="1:36" x14ac:dyDescent="0.25">
      <c r="A14" s="3" t="s">
        <v>81</v>
      </c>
      <c r="B14" s="3" t="s">
        <v>184</v>
      </c>
      <c r="C14" s="3" t="s">
        <v>200</v>
      </c>
      <c r="D14" s="3"/>
      <c r="E14" s="3" t="s">
        <v>240</v>
      </c>
      <c r="F14" s="3" t="s">
        <v>158</v>
      </c>
      <c r="G14" s="3" t="s">
        <v>149</v>
      </c>
      <c r="H14" s="3" t="s">
        <v>275</v>
      </c>
      <c r="I14" s="3"/>
      <c r="J14" s="3" t="s">
        <v>280</v>
      </c>
      <c r="K14" s="3">
        <v>12</v>
      </c>
      <c r="L14" s="3">
        <v>1</v>
      </c>
      <c r="M14" s="3"/>
      <c r="N14" s="3" t="str">
        <f>IF(JiraDataset[[#This Row],[IssueType]]="Epic",JiraDataset[[#This Row],[Summary]],"")</f>
        <v>Payments &amp; Billing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 t="str">
        <f>IF(JiraDataset[[#This Row],[RowType]]=cfg_type_skip,"",IFERROR(VLOOKUP(JiraDataset[[#This Row],[Sprint Name]], 'Config - Mappings'!$G$4:$H$8, 2, FALSE), ""))</f>
        <v/>
      </c>
      <c r="AD14" s="3" t="str">
        <f>IF(JiraDataset[[#This Row],[RowType]]=cfg_type_skip,"",_xlfn.XLOOKUP("Creation Marker", CfgMisc[Name], CfgMisc[Value],"",1))</f>
        <v>imported</v>
      </c>
      <c r="AE14" s="3" t="str">
        <f>IF(JiraDataset[[#This Row],[RowType]]=cfg_type_skip,"",_xlfn.XLOOKUP("Work Group", CfgMisc[Name], CfgMisc[Value],"",1))</f>
        <v>pod_test</v>
      </c>
      <c r="AF14" s="3" t="str">
        <f>IF(JiraDataset[[#This Row],[RowType]]=cfg_type_skip,"",IFERROR(VLOOKUP(JiraDataset[[#This Row],[Assignee.Name]], 'Config - Mappings'!$A$4:$B$26, 2, FALSE), ""))</f>
        <v>712020:09876543212345678902</v>
      </c>
      <c r="AG14" s="3" t="str">
        <f>IF(JiraDataset[[#This Row],[RowType]]=cfg_type_skip,"",_xlfn.XLOOKUP("jira.project.key", CfgBasic[Name], CfgBasic[Value]))</f>
        <v>JITTP2</v>
      </c>
      <c r="AH14" s="3" cm="1">
        <f t="array" ref="AH14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I14" s="3" t="str" cm="1">
        <f t="array" ref="AI14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14" s="3"/>
    </row>
    <row r="15" spans="1:36" x14ac:dyDescent="0.25">
      <c r="A15" s="3" t="s">
        <v>37</v>
      </c>
      <c r="B15" s="3" t="s">
        <v>185</v>
      </c>
      <c r="C15" s="3" t="s">
        <v>201</v>
      </c>
      <c r="D15" s="3"/>
      <c r="E15" s="3" t="s">
        <v>241</v>
      </c>
      <c r="F15" s="3" t="s">
        <v>158</v>
      </c>
      <c r="G15" s="3" t="s">
        <v>150</v>
      </c>
      <c r="H15" s="3" t="s">
        <v>274</v>
      </c>
      <c r="I15" s="3"/>
      <c r="J15" s="3" t="s">
        <v>281</v>
      </c>
      <c r="K15" s="3">
        <v>13</v>
      </c>
      <c r="L15" s="3">
        <v>12</v>
      </c>
      <c r="M15" s="3"/>
      <c r="N15" s="3" t="str">
        <f>IF(JiraDataset[[#This Row],[IssueType]]="Epic",JiraDataset[[#This Row],[Summary]],"")</f>
        <v/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 t="str">
        <f>IF(JiraDataset[[#This Row],[RowType]]=cfg_type_skip,"",IFERROR(VLOOKUP(JiraDataset[[#This Row],[Sprint Name]], 'Config - Mappings'!$G$4:$H$8, 2, FALSE), ""))</f>
        <v/>
      </c>
      <c r="AD15" s="3" t="str">
        <f>IF(JiraDataset[[#This Row],[RowType]]=cfg_type_skip,"",_xlfn.XLOOKUP("Creation Marker", CfgMisc[Name], CfgMisc[Value],"",1))</f>
        <v>imported</v>
      </c>
      <c r="AE15" s="3" t="str">
        <f>IF(JiraDataset[[#This Row],[RowType]]=cfg_type_skip,"",_xlfn.XLOOKUP("Work Group", CfgMisc[Name], CfgMisc[Value],"",1))</f>
        <v>pod_test</v>
      </c>
      <c r="AF15" s="3" t="str">
        <f>IF(JiraDataset[[#This Row],[RowType]]=cfg_type_skip,"",IFERROR(VLOOKUP(JiraDataset[[#This Row],[Assignee.Name]], 'Config - Mappings'!$A$4:$B$26, 2, FALSE), ""))</f>
        <v>712020:09876543212345678903</v>
      </c>
      <c r="AG15" s="3" t="str">
        <f>IF(JiraDataset[[#This Row],[RowType]]=cfg_type_skip,"",_xlfn.XLOOKUP("jira.project.key", CfgBasic[Name], CfgBasic[Value]))</f>
        <v>JITTP2</v>
      </c>
      <c r="AH15" s="3" cm="1">
        <f t="array" ref="AH15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I15" s="3" t="str" cm="1">
        <f t="array" ref="AI15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15" s="3"/>
    </row>
    <row r="16" spans="1:36" x14ac:dyDescent="0.25">
      <c r="A16" s="3" t="s">
        <v>90</v>
      </c>
      <c r="B16" s="3" t="s">
        <v>186</v>
      </c>
      <c r="C16" s="3" t="s">
        <v>202</v>
      </c>
      <c r="D16" s="3"/>
      <c r="E16" s="3" t="s">
        <v>242</v>
      </c>
      <c r="F16" s="3" t="s">
        <v>158</v>
      </c>
      <c r="G16" s="3" t="s">
        <v>151</v>
      </c>
      <c r="H16" s="3" t="s">
        <v>271</v>
      </c>
      <c r="I16" s="3"/>
      <c r="J16" s="3" t="s">
        <v>285</v>
      </c>
      <c r="K16" s="3">
        <v>14</v>
      </c>
      <c r="L16" s="3">
        <v>12</v>
      </c>
      <c r="M16" s="3"/>
      <c r="N16" s="3" t="str">
        <f>IF(JiraDataset[[#This Row],[IssueType]]="Epic",JiraDataset[[#This Row],[Summary]],"")</f>
        <v/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 t="str">
        <f>IF(JiraDataset[[#This Row],[RowType]]=cfg_type_skip,"",IFERROR(VLOOKUP(JiraDataset[[#This Row],[Sprint Name]], 'Config - Mappings'!$G$4:$H$8, 2, FALSE), ""))</f>
        <v/>
      </c>
      <c r="AD16" s="3" t="str">
        <f>IF(JiraDataset[[#This Row],[RowType]]=cfg_type_skip,"",_xlfn.XLOOKUP("Creation Marker", CfgMisc[Name], CfgMisc[Value],"",1))</f>
        <v>imported</v>
      </c>
      <c r="AE16" s="3" t="str">
        <f>IF(JiraDataset[[#This Row],[RowType]]=cfg_type_skip,"",_xlfn.XLOOKUP("Work Group", CfgMisc[Name], CfgMisc[Value],"",1))</f>
        <v>pod_test</v>
      </c>
      <c r="AF16" s="3" t="str">
        <f>IF(JiraDataset[[#This Row],[RowType]]=cfg_type_skip,"",IFERROR(VLOOKUP(JiraDataset[[#This Row],[Assignee.Name]], 'Config - Mappings'!$A$4:$B$26, 2, FALSE), ""))</f>
        <v>712020:09876543212345678904</v>
      </c>
      <c r="AG16" s="3" t="str">
        <f>IF(JiraDataset[[#This Row],[RowType]]=cfg_type_skip,"",_xlfn.XLOOKUP("jira.project.key", CfgBasic[Name], CfgBasic[Value]))</f>
        <v>JITTP2</v>
      </c>
      <c r="AH16" s="3" cm="1">
        <f t="array" ref="AH16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</v>
      </c>
      <c r="AI16" s="3" t="str" cm="1">
        <f t="array" ref="AI16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16" s="3"/>
    </row>
    <row r="17" spans="1:36" x14ac:dyDescent="0.25">
      <c r="A17" s="3" t="s">
        <v>47</v>
      </c>
      <c r="B17" s="3" t="s">
        <v>187</v>
      </c>
      <c r="C17" s="3" t="s">
        <v>203</v>
      </c>
      <c r="D17" s="3"/>
      <c r="E17" s="3" t="s">
        <v>243</v>
      </c>
      <c r="F17" s="3" t="s">
        <v>158</v>
      </c>
      <c r="G17" s="3" t="s">
        <v>152</v>
      </c>
      <c r="H17" s="3" t="s">
        <v>271</v>
      </c>
      <c r="I17" s="3"/>
      <c r="J17" s="3" t="s">
        <v>284</v>
      </c>
      <c r="K17" s="3">
        <v>15</v>
      </c>
      <c r="L17" s="3">
        <v>12</v>
      </c>
      <c r="M17" s="3"/>
      <c r="N17" s="3" t="str">
        <f>IF(JiraDataset[[#This Row],[IssueType]]="Epic",JiraDataset[[#This Row],[Summary]],"")</f>
        <v/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 t="str">
        <f>IF(JiraDataset[[#This Row],[RowType]]=cfg_type_skip,"",IFERROR(VLOOKUP(JiraDataset[[#This Row],[Sprint Name]], 'Config - Mappings'!$G$4:$H$8, 2, FALSE), ""))</f>
        <v/>
      </c>
      <c r="AD17" s="3" t="str">
        <f>IF(JiraDataset[[#This Row],[RowType]]=cfg_type_skip,"",_xlfn.XLOOKUP("Creation Marker", CfgMisc[Name], CfgMisc[Value],"",1))</f>
        <v>imported</v>
      </c>
      <c r="AE17" s="3" t="str">
        <f>IF(JiraDataset[[#This Row],[RowType]]=cfg_type_skip,"",_xlfn.XLOOKUP("Work Group", CfgMisc[Name], CfgMisc[Value],"",1))</f>
        <v>pod_test</v>
      </c>
      <c r="AF17" s="3" t="str">
        <f>IF(JiraDataset[[#This Row],[RowType]]=cfg_type_skip,"",IFERROR(VLOOKUP(JiraDataset[[#This Row],[Assignee.Name]], 'Config - Mappings'!$A$4:$B$26, 2, FALSE), ""))</f>
        <v>712020:09876543212345678905</v>
      </c>
      <c r="AG17" s="3" t="str">
        <f>IF(JiraDataset[[#This Row],[RowType]]=cfg_type_skip,"",_xlfn.XLOOKUP("jira.project.key", CfgBasic[Name], CfgBasic[Value]))</f>
        <v>JITTP2</v>
      </c>
      <c r="AH17" s="3" cm="1">
        <f t="array" ref="AH17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I17" s="3" t="str" cm="1">
        <f t="array" ref="AI17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17" s="3"/>
    </row>
    <row r="18" spans="1:36" x14ac:dyDescent="0.25">
      <c r="A18" s="3" t="s">
        <v>37</v>
      </c>
      <c r="B18" s="3" t="s">
        <v>188</v>
      </c>
      <c r="C18" s="3" t="s">
        <v>204</v>
      </c>
      <c r="D18" s="3"/>
      <c r="E18" s="3" t="s">
        <v>244</v>
      </c>
      <c r="F18" s="3" t="s">
        <v>158</v>
      </c>
      <c r="G18" s="3" t="s">
        <v>148</v>
      </c>
      <c r="H18" s="3" t="s">
        <v>272</v>
      </c>
      <c r="I18" s="3"/>
      <c r="J18" s="3" t="s">
        <v>284</v>
      </c>
      <c r="K18" s="3">
        <v>16</v>
      </c>
      <c r="L18" s="3">
        <v>13</v>
      </c>
      <c r="M18" s="3"/>
      <c r="N18" s="3" t="str">
        <f>IF(JiraDataset[[#This Row],[IssueType]]="Epic",JiraDataset[[#This Row],[Summary]],"")</f>
        <v/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 t="str">
        <f>IF(JiraDataset[[#This Row],[RowType]]=cfg_type_skip,"",IFERROR(VLOOKUP(JiraDataset[[#This Row],[Sprint Name]], 'Config - Mappings'!$G$4:$H$8, 2, FALSE), ""))</f>
        <v/>
      </c>
      <c r="AD18" s="3" t="str">
        <f>IF(JiraDataset[[#This Row],[RowType]]=cfg_type_skip,"",_xlfn.XLOOKUP("Creation Marker", CfgMisc[Name], CfgMisc[Value],"",1))</f>
        <v>imported</v>
      </c>
      <c r="AE18" s="3" t="str">
        <f>IF(JiraDataset[[#This Row],[RowType]]=cfg_type_skip,"",_xlfn.XLOOKUP("Work Group", CfgMisc[Name], CfgMisc[Value],"",1))</f>
        <v>pod_test</v>
      </c>
      <c r="AF18" s="3" t="str">
        <f>IF(JiraDataset[[#This Row],[RowType]]=cfg_type_skip,"",IFERROR(VLOOKUP(JiraDataset[[#This Row],[Assignee.Name]], 'Config - Mappings'!$A$4:$B$26, 2, FALSE), ""))</f>
        <v>712020:09876543212345678901</v>
      </c>
      <c r="AG18" s="3" t="str">
        <f>IF(JiraDataset[[#This Row],[RowType]]=cfg_type_skip,"",_xlfn.XLOOKUP("jira.project.key", CfgBasic[Name], CfgBasic[Value]))</f>
        <v>JITTP2</v>
      </c>
      <c r="AH18" s="3" cm="1">
        <f t="array" ref="AH18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I18" s="3" t="str" cm="1">
        <f t="array" ref="AI18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18" s="3"/>
    </row>
    <row r="19" spans="1:36" x14ac:dyDescent="0.25">
      <c r="A19" s="3" t="s">
        <v>81</v>
      </c>
      <c r="B19" s="3" t="s">
        <v>183</v>
      </c>
      <c r="C19" s="3" t="s">
        <v>205</v>
      </c>
      <c r="D19" s="3"/>
      <c r="E19" s="3" t="s">
        <v>245</v>
      </c>
      <c r="F19" s="3" t="s">
        <v>158</v>
      </c>
      <c r="G19" s="3" t="s">
        <v>149</v>
      </c>
      <c r="H19" s="3" t="s">
        <v>276</v>
      </c>
      <c r="I19" s="3"/>
      <c r="J19" s="3" t="s">
        <v>279</v>
      </c>
      <c r="K19" s="3">
        <v>17</v>
      </c>
      <c r="L19" s="3"/>
      <c r="M19" s="3"/>
      <c r="N19" s="3" t="str">
        <f>IF(JiraDataset[[#This Row],[IssueType]]="Epic",JiraDataset[[#This Row],[Summary]],"")</f>
        <v/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 t="str">
        <f>IF(JiraDataset[[#This Row],[RowType]]=cfg_type_skip,"",IFERROR(VLOOKUP(JiraDataset[[#This Row],[Sprint Name]], 'Config - Mappings'!$G$4:$H$8, 2, FALSE), ""))</f>
        <v/>
      </c>
      <c r="AD19" s="3" t="str">
        <f>IF(JiraDataset[[#This Row],[RowType]]=cfg_type_skip,"",_xlfn.XLOOKUP("Creation Marker", CfgMisc[Name], CfgMisc[Value],"",1))</f>
        <v>imported</v>
      </c>
      <c r="AE19" s="3" t="str">
        <f>IF(JiraDataset[[#This Row],[RowType]]=cfg_type_skip,"",_xlfn.XLOOKUP("Work Group", CfgMisc[Name], CfgMisc[Value],"",1))</f>
        <v>pod_test</v>
      </c>
      <c r="AF19" s="3" t="str">
        <f>IF(JiraDataset[[#This Row],[RowType]]=cfg_type_skip,"",IFERROR(VLOOKUP(JiraDataset[[#This Row],[Assignee.Name]], 'Config - Mappings'!$A$4:$B$26, 2, FALSE), ""))</f>
        <v>712020:09876543212345678902</v>
      </c>
      <c r="AG19" s="3" t="str">
        <f>IF(JiraDataset[[#This Row],[RowType]]=cfg_type_skip,"",_xlfn.XLOOKUP("jira.project.key", CfgBasic[Name], CfgBasic[Value]))</f>
        <v>JITTP2</v>
      </c>
      <c r="AH19" s="3" cm="1">
        <f t="array" ref="AH19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17280000</v>
      </c>
      <c r="AI19" s="3" t="str" cm="1">
        <f t="array" ref="AI19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19" s="3"/>
    </row>
    <row r="20" spans="1:36" x14ac:dyDescent="0.25">
      <c r="A20" s="3" t="s">
        <v>37</v>
      </c>
      <c r="B20" s="3" t="s">
        <v>184</v>
      </c>
      <c r="C20" s="3" t="s">
        <v>206</v>
      </c>
      <c r="D20" s="3"/>
      <c r="E20" s="3" t="s">
        <v>246</v>
      </c>
      <c r="F20" s="3" t="s">
        <v>158</v>
      </c>
      <c r="G20" s="3" t="s">
        <v>150</v>
      </c>
      <c r="H20" s="3" t="s">
        <v>271</v>
      </c>
      <c r="I20" s="3"/>
      <c r="J20" s="3" t="s">
        <v>280</v>
      </c>
      <c r="K20" s="3">
        <v>18</v>
      </c>
      <c r="L20" s="3">
        <v>17</v>
      </c>
      <c r="M20" s="3"/>
      <c r="N20" s="3" t="str">
        <f>IF(JiraDataset[[#This Row],[IssueType]]="Epic",JiraDataset[[#This Row],[Summary]],"")</f>
        <v>Mobile App UX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 t="str">
        <f>IF(JiraDataset[[#This Row],[RowType]]=cfg_type_skip,"",IFERROR(VLOOKUP(JiraDataset[[#This Row],[Sprint Name]], 'Config - Mappings'!$G$4:$H$8, 2, FALSE), ""))</f>
        <v/>
      </c>
      <c r="AD20" s="3" t="str">
        <f>IF(JiraDataset[[#This Row],[RowType]]=cfg_type_skip,"",_xlfn.XLOOKUP("Creation Marker", CfgMisc[Name], CfgMisc[Value],"",1))</f>
        <v>imported</v>
      </c>
      <c r="AE20" s="3" t="str">
        <f>IF(JiraDataset[[#This Row],[RowType]]=cfg_type_skip,"",_xlfn.XLOOKUP("Work Group", CfgMisc[Name], CfgMisc[Value],"",1))</f>
        <v>pod_test</v>
      </c>
      <c r="AF20" s="3" t="str">
        <f>IF(JiraDataset[[#This Row],[RowType]]=cfg_type_skip,"",IFERROR(VLOOKUP(JiraDataset[[#This Row],[Assignee.Name]], 'Config - Mappings'!$A$4:$B$26, 2, FALSE), ""))</f>
        <v>712020:09876543212345678903</v>
      </c>
      <c r="AG20" s="3" t="str">
        <f>IF(JiraDataset[[#This Row],[RowType]]=cfg_type_skip,"",_xlfn.XLOOKUP("jira.project.key", CfgBasic[Name], CfgBasic[Value]))</f>
        <v>JITTP2</v>
      </c>
      <c r="AH20" s="3" cm="1">
        <f t="array" ref="AH20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I20" s="3" t="str" cm="1">
        <f t="array" ref="AI20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20" s="3"/>
    </row>
    <row r="21" spans="1:36" x14ac:dyDescent="0.25">
      <c r="A21" s="3" t="s">
        <v>46</v>
      </c>
      <c r="B21" s="3" t="s">
        <v>185</v>
      </c>
      <c r="C21" s="3" t="s">
        <v>207</v>
      </c>
      <c r="D21" s="3"/>
      <c r="E21" s="3" t="s">
        <v>247</v>
      </c>
      <c r="F21" s="3" t="s">
        <v>158</v>
      </c>
      <c r="G21" s="3" t="s">
        <v>151</v>
      </c>
      <c r="H21" s="3" t="s">
        <v>271</v>
      </c>
      <c r="I21" s="3"/>
      <c r="J21" s="3" t="s">
        <v>281</v>
      </c>
      <c r="K21" s="3">
        <v>19</v>
      </c>
      <c r="L21" s="3">
        <v>18</v>
      </c>
      <c r="M21" s="3"/>
      <c r="N21" s="3" t="str">
        <f>IF(JiraDataset[[#This Row],[IssueType]]="Epic",JiraDataset[[#This Row],[Summary]],"")</f>
        <v/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 t="str">
        <f>IF(JiraDataset[[#This Row],[RowType]]=cfg_type_skip,"",IFERROR(VLOOKUP(JiraDataset[[#This Row],[Sprint Name]], 'Config - Mappings'!$G$4:$H$8, 2, FALSE), ""))</f>
        <v/>
      </c>
      <c r="AD21" s="3" t="str">
        <f>IF(JiraDataset[[#This Row],[RowType]]=cfg_type_skip,"",_xlfn.XLOOKUP("Creation Marker", CfgMisc[Name], CfgMisc[Value],"",1))</f>
        <v>imported</v>
      </c>
      <c r="AE21" s="3" t="str">
        <f>IF(JiraDataset[[#This Row],[RowType]]=cfg_type_skip,"",_xlfn.XLOOKUP("Work Group", CfgMisc[Name], CfgMisc[Value],"",1))</f>
        <v>pod_test</v>
      </c>
      <c r="AF21" s="3" t="str">
        <f>IF(JiraDataset[[#This Row],[RowType]]=cfg_type_skip,"",IFERROR(VLOOKUP(JiraDataset[[#This Row],[Assignee.Name]], 'Config - Mappings'!$A$4:$B$26, 2, FALSE), ""))</f>
        <v>712020:09876543212345678904</v>
      </c>
      <c r="AG21" s="3" t="str">
        <f>IF(JiraDataset[[#This Row],[RowType]]=cfg_type_skip,"",_xlfn.XLOOKUP("jira.project.key", CfgBasic[Name], CfgBasic[Value]))</f>
        <v>JITTP2</v>
      </c>
      <c r="AH21" s="3" cm="1">
        <f t="array" ref="AH2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I21" s="3" t="str" cm="1">
        <f t="array" ref="AI21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21" s="3"/>
    </row>
    <row r="22" spans="1:36" x14ac:dyDescent="0.25">
      <c r="A22" s="3" t="s">
        <v>81</v>
      </c>
      <c r="B22" s="3" t="s">
        <v>186</v>
      </c>
      <c r="C22" s="3" t="s">
        <v>208</v>
      </c>
      <c r="D22" s="3"/>
      <c r="E22" s="3" t="s">
        <v>248</v>
      </c>
      <c r="F22" s="3" t="s">
        <v>158</v>
      </c>
      <c r="G22" s="3" t="s">
        <v>152</v>
      </c>
      <c r="H22" s="3" t="s">
        <v>271</v>
      </c>
      <c r="I22" s="3"/>
      <c r="J22" s="3" t="s">
        <v>285</v>
      </c>
      <c r="K22" s="3">
        <v>20</v>
      </c>
      <c r="L22" s="3">
        <v>18</v>
      </c>
      <c r="M22" s="3"/>
      <c r="N22" s="3" t="str">
        <f>IF(JiraDataset[[#This Row],[IssueType]]="Epic",JiraDataset[[#This Row],[Summary]],"")</f>
        <v/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 t="str">
        <f>IF(JiraDataset[[#This Row],[RowType]]=cfg_type_skip,"",IFERROR(VLOOKUP(JiraDataset[[#This Row],[Sprint Name]], 'Config - Mappings'!$G$4:$H$8, 2, FALSE), ""))</f>
        <v/>
      </c>
      <c r="AD22" s="3" t="str">
        <f>IF(JiraDataset[[#This Row],[RowType]]=cfg_type_skip,"",_xlfn.XLOOKUP("Creation Marker", CfgMisc[Name], CfgMisc[Value],"",1))</f>
        <v>imported</v>
      </c>
      <c r="AE22" s="3" t="str">
        <f>IF(JiraDataset[[#This Row],[RowType]]=cfg_type_skip,"",_xlfn.XLOOKUP("Work Group", CfgMisc[Name], CfgMisc[Value],"",1))</f>
        <v>pod_test</v>
      </c>
      <c r="AF22" s="3" t="str">
        <f>IF(JiraDataset[[#This Row],[RowType]]=cfg_type_skip,"",IFERROR(VLOOKUP(JiraDataset[[#This Row],[Assignee.Name]], 'Config - Mappings'!$A$4:$B$26, 2, FALSE), ""))</f>
        <v>712020:09876543212345678905</v>
      </c>
      <c r="AG22" s="3" t="str">
        <f>IF(JiraDataset[[#This Row],[RowType]]=cfg_type_skip,"",_xlfn.XLOOKUP("jira.project.key", CfgBasic[Name], CfgBasic[Value]))</f>
        <v>JITTP2</v>
      </c>
      <c r="AH22" s="3" cm="1">
        <f t="array" ref="AH22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</v>
      </c>
      <c r="AI22" s="3" t="str" cm="1">
        <f t="array" ref="AI22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22" s="3"/>
    </row>
    <row r="23" spans="1:36" x14ac:dyDescent="0.25">
      <c r="A23" s="3" t="s">
        <v>89</v>
      </c>
      <c r="B23" s="3" t="s">
        <v>187</v>
      </c>
      <c r="C23" s="3" t="s">
        <v>209</v>
      </c>
      <c r="D23" s="3"/>
      <c r="E23" s="3" t="s">
        <v>249</v>
      </c>
      <c r="F23" s="3" t="s">
        <v>158</v>
      </c>
      <c r="G23" s="3" t="s">
        <v>148</v>
      </c>
      <c r="H23" s="3" t="s">
        <v>271</v>
      </c>
      <c r="I23" s="3"/>
      <c r="J23" s="3" t="s">
        <v>283</v>
      </c>
      <c r="K23" s="3">
        <v>21</v>
      </c>
      <c r="L23" s="3">
        <v>18</v>
      </c>
      <c r="M23" s="3"/>
      <c r="N23" s="3" t="str">
        <f>IF(JiraDataset[[#This Row],[IssueType]]="Epic",JiraDataset[[#This Row],[Summary]],"")</f>
        <v/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 t="str">
        <f>IF(JiraDataset[[#This Row],[RowType]]=cfg_type_skip,"",IFERROR(VLOOKUP(JiraDataset[[#This Row],[Sprint Name]], 'Config - Mappings'!$G$4:$H$8, 2, FALSE), ""))</f>
        <v/>
      </c>
      <c r="AD23" s="3" t="str">
        <f>IF(JiraDataset[[#This Row],[RowType]]=cfg_type_skip,"",_xlfn.XLOOKUP("Creation Marker", CfgMisc[Name], CfgMisc[Value],"",1))</f>
        <v>imported</v>
      </c>
      <c r="AE23" s="3" t="str">
        <f>IF(JiraDataset[[#This Row],[RowType]]=cfg_type_skip,"",_xlfn.XLOOKUP("Work Group", CfgMisc[Name], CfgMisc[Value],"",1))</f>
        <v>pod_test</v>
      </c>
      <c r="AF23" s="3" t="str">
        <f>IF(JiraDataset[[#This Row],[RowType]]=cfg_type_skip,"",IFERROR(VLOOKUP(JiraDataset[[#This Row],[Assignee.Name]], 'Config - Mappings'!$A$4:$B$26, 2, FALSE), ""))</f>
        <v>712020:09876543212345678901</v>
      </c>
      <c r="AG23" s="3" t="str">
        <f>IF(JiraDataset[[#This Row],[RowType]]=cfg_type_skip,"",_xlfn.XLOOKUP("jira.project.key", CfgBasic[Name], CfgBasic[Value]))</f>
        <v>JITTP2</v>
      </c>
      <c r="AH23" s="3" cm="1">
        <f t="array" ref="AH23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1296000</v>
      </c>
      <c r="AI23" s="3" t="str" cm="1">
        <f t="array" ref="AI23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23" s="3"/>
    </row>
    <row r="24" spans="1:36" x14ac:dyDescent="0.25">
      <c r="A24" s="3" t="s">
        <v>90</v>
      </c>
      <c r="B24" s="3" t="s">
        <v>188</v>
      </c>
      <c r="C24" s="3" t="s">
        <v>210</v>
      </c>
      <c r="D24" s="3"/>
      <c r="E24" s="3" t="s">
        <v>250</v>
      </c>
      <c r="F24" s="3" t="s">
        <v>158</v>
      </c>
      <c r="G24" s="3" t="s">
        <v>149</v>
      </c>
      <c r="H24" s="3" t="s">
        <v>272</v>
      </c>
      <c r="I24" s="3"/>
      <c r="J24" s="3" t="s">
        <v>284</v>
      </c>
      <c r="K24" s="3">
        <v>22</v>
      </c>
      <c r="L24" s="3">
        <v>21</v>
      </c>
      <c r="M24" s="3"/>
      <c r="N24" s="3" t="str">
        <f>IF(JiraDataset[[#This Row],[IssueType]]="Epic",JiraDataset[[#This Row],[Summary]],"")</f>
        <v/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 t="str">
        <f>IF(JiraDataset[[#This Row],[RowType]]=cfg_type_skip,"",IFERROR(VLOOKUP(JiraDataset[[#This Row],[Sprint Name]], 'Config - Mappings'!$G$4:$H$8, 2, FALSE), ""))</f>
        <v/>
      </c>
      <c r="AD24" s="3" t="str">
        <f>IF(JiraDataset[[#This Row],[RowType]]=cfg_type_skip,"",_xlfn.XLOOKUP("Creation Marker", CfgMisc[Name], CfgMisc[Value],"",1))</f>
        <v>imported</v>
      </c>
      <c r="AE24" s="3" t="str">
        <f>IF(JiraDataset[[#This Row],[RowType]]=cfg_type_skip,"",_xlfn.XLOOKUP("Work Group", CfgMisc[Name], CfgMisc[Value],"",1))</f>
        <v>pod_test</v>
      </c>
      <c r="AF24" s="3" t="str">
        <f>IF(JiraDataset[[#This Row],[RowType]]=cfg_type_skip,"",IFERROR(VLOOKUP(JiraDataset[[#This Row],[Assignee.Name]], 'Config - Mappings'!$A$4:$B$26, 2, FALSE), ""))</f>
        <v>712020:09876543212345678902</v>
      </c>
      <c r="AG24" s="3" t="str">
        <f>IF(JiraDataset[[#This Row],[RowType]]=cfg_type_skip,"",_xlfn.XLOOKUP("jira.project.key", CfgBasic[Name], CfgBasic[Value]))</f>
        <v>JITTP2</v>
      </c>
      <c r="AH24" s="3" cm="1">
        <f t="array" ref="AH24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I24" s="3" t="str" cm="1">
        <f t="array" ref="AI24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24" s="3"/>
    </row>
    <row r="25" spans="1:36" x14ac:dyDescent="0.25">
      <c r="A25" s="3" t="s">
        <v>47</v>
      </c>
      <c r="B25" s="3" t="s">
        <v>184</v>
      </c>
      <c r="C25" s="3" t="s">
        <v>211</v>
      </c>
      <c r="D25" s="3"/>
      <c r="E25" s="3" t="s">
        <v>251</v>
      </c>
      <c r="F25" s="3" t="s">
        <v>158</v>
      </c>
      <c r="G25" s="3" t="s">
        <v>150</v>
      </c>
      <c r="H25" s="3" t="s">
        <v>273</v>
      </c>
      <c r="I25" s="3"/>
      <c r="J25" s="3" t="s">
        <v>280</v>
      </c>
      <c r="K25" s="3">
        <v>23</v>
      </c>
      <c r="L25" s="3">
        <v>17</v>
      </c>
      <c r="M25" s="3"/>
      <c r="N25" s="3" t="str">
        <f>IF(JiraDataset[[#This Row],[IssueType]]="Epic",JiraDataset[[#This Row],[Summary]],"")</f>
        <v>Admin &amp; Permissions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 t="str">
        <f>IF(JiraDataset[[#This Row],[RowType]]=cfg_type_skip,"",IFERROR(VLOOKUP(JiraDataset[[#This Row],[Sprint Name]], 'Config - Mappings'!$G$4:$H$8, 2, FALSE), ""))</f>
        <v/>
      </c>
      <c r="AD25" s="3" t="str">
        <f>IF(JiraDataset[[#This Row],[RowType]]=cfg_type_skip,"",_xlfn.XLOOKUP("Creation Marker", CfgMisc[Name], CfgMisc[Value],"",1))</f>
        <v>imported</v>
      </c>
      <c r="AE25" s="3" t="str">
        <f>IF(JiraDataset[[#This Row],[RowType]]=cfg_type_skip,"",_xlfn.XLOOKUP("Work Group", CfgMisc[Name], CfgMisc[Value],"",1))</f>
        <v>pod_test</v>
      </c>
      <c r="AF25" s="3" t="str">
        <f>IF(JiraDataset[[#This Row],[RowType]]=cfg_type_skip,"",IFERROR(VLOOKUP(JiraDataset[[#This Row],[Assignee.Name]], 'Config - Mappings'!$A$4:$B$26, 2, FALSE), ""))</f>
        <v>712020:09876543212345678903</v>
      </c>
      <c r="AG25" s="3" t="str">
        <f>IF(JiraDataset[[#This Row],[RowType]]=cfg_type_skip,"",_xlfn.XLOOKUP("jira.project.key", CfgBasic[Name], CfgBasic[Value]))</f>
        <v>JITTP2</v>
      </c>
      <c r="AH25" s="3" cm="1">
        <f t="array" ref="AH25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I25" s="3" t="str" cm="1">
        <f t="array" ref="AI25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25" s="3"/>
    </row>
    <row r="26" spans="1:36" x14ac:dyDescent="0.25">
      <c r="A26" s="3" t="s">
        <v>81</v>
      </c>
      <c r="B26" s="3" t="s">
        <v>185</v>
      </c>
      <c r="C26" s="3" t="s">
        <v>212</v>
      </c>
      <c r="D26" s="3"/>
      <c r="E26" s="3" t="s">
        <v>252</v>
      </c>
      <c r="F26" s="3" t="s">
        <v>158</v>
      </c>
      <c r="G26" s="3" t="s">
        <v>151</v>
      </c>
      <c r="H26" s="3" t="s">
        <v>274</v>
      </c>
      <c r="I26" s="3"/>
      <c r="J26" s="3" t="s">
        <v>285</v>
      </c>
      <c r="K26" s="3">
        <v>24</v>
      </c>
      <c r="L26" s="3">
        <v>23</v>
      </c>
      <c r="M26" s="3"/>
      <c r="N26" s="3" t="str">
        <f>IF(JiraDataset[[#This Row],[IssueType]]="Epic",JiraDataset[[#This Row],[Summary]],"")</f>
        <v/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 t="str">
        <f>IF(JiraDataset[[#This Row],[RowType]]=cfg_type_skip,"",IFERROR(VLOOKUP(JiraDataset[[#This Row],[Sprint Name]], 'Config - Mappings'!$G$4:$H$8, 2, FALSE), ""))</f>
        <v/>
      </c>
      <c r="AD26" s="3" t="str">
        <f>IF(JiraDataset[[#This Row],[RowType]]=cfg_type_skip,"",_xlfn.XLOOKUP("Creation Marker", CfgMisc[Name], CfgMisc[Value],"",1))</f>
        <v>imported</v>
      </c>
      <c r="AE26" s="3" t="str">
        <f>IF(JiraDataset[[#This Row],[RowType]]=cfg_type_skip,"",_xlfn.XLOOKUP("Work Group", CfgMisc[Name], CfgMisc[Value],"",1))</f>
        <v>pod_test</v>
      </c>
      <c r="AF26" s="3" t="str">
        <f>IF(JiraDataset[[#This Row],[RowType]]=cfg_type_skip,"",IFERROR(VLOOKUP(JiraDataset[[#This Row],[Assignee.Name]], 'Config - Mappings'!$A$4:$B$26, 2, FALSE), ""))</f>
        <v>712020:09876543212345678904</v>
      </c>
      <c r="AG26" s="3" t="str">
        <f>IF(JiraDataset[[#This Row],[RowType]]=cfg_type_skip,"",_xlfn.XLOOKUP("jira.project.key", CfgBasic[Name], CfgBasic[Value]))</f>
        <v>JITTP2</v>
      </c>
      <c r="AH26" s="3" cm="1">
        <f t="array" ref="AH26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</v>
      </c>
      <c r="AI26" s="3" t="str" cm="1">
        <f t="array" ref="AI26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26" s="3"/>
    </row>
    <row r="27" spans="1:36" x14ac:dyDescent="0.25">
      <c r="A27" s="3" t="s">
        <v>37</v>
      </c>
      <c r="B27" s="3" t="s">
        <v>186</v>
      </c>
      <c r="C27" s="3" t="s">
        <v>213</v>
      </c>
      <c r="D27" s="3"/>
      <c r="E27" s="3" t="s">
        <v>253</v>
      </c>
      <c r="F27" s="3" t="s">
        <v>158</v>
      </c>
      <c r="G27" s="3" t="s">
        <v>152</v>
      </c>
      <c r="H27" s="3" t="s">
        <v>271</v>
      </c>
      <c r="I27" s="3"/>
      <c r="J27" s="3" t="s">
        <v>281</v>
      </c>
      <c r="K27" s="3">
        <v>25</v>
      </c>
      <c r="L27" s="3">
        <v>23</v>
      </c>
      <c r="M27" s="3"/>
      <c r="N27" s="3" t="str">
        <f>IF(JiraDataset[[#This Row],[IssueType]]="Epic",JiraDataset[[#This Row],[Summary]],"")</f>
        <v/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 t="str">
        <f>IF(JiraDataset[[#This Row],[RowType]]=cfg_type_skip,"",IFERROR(VLOOKUP(JiraDataset[[#This Row],[Sprint Name]], 'Config - Mappings'!$G$4:$H$8, 2, FALSE), ""))</f>
        <v/>
      </c>
      <c r="AD27" s="3" t="str">
        <f>IF(JiraDataset[[#This Row],[RowType]]=cfg_type_skip,"",_xlfn.XLOOKUP("Creation Marker", CfgMisc[Name], CfgMisc[Value],"",1))</f>
        <v>imported</v>
      </c>
      <c r="AE27" s="3" t="str">
        <f>IF(JiraDataset[[#This Row],[RowType]]=cfg_type_skip,"",_xlfn.XLOOKUP("Work Group", CfgMisc[Name], CfgMisc[Value],"",1))</f>
        <v>pod_test</v>
      </c>
      <c r="AF27" s="3" t="str">
        <f>IF(JiraDataset[[#This Row],[RowType]]=cfg_type_skip,"",IFERROR(VLOOKUP(JiraDataset[[#This Row],[Assignee.Name]], 'Config - Mappings'!$A$4:$B$26, 2, FALSE), ""))</f>
        <v>712020:09876543212345678905</v>
      </c>
      <c r="AG27" s="3" t="str">
        <f>IF(JiraDataset[[#This Row],[RowType]]=cfg_type_skip,"",_xlfn.XLOOKUP("jira.project.key", CfgBasic[Name], CfgBasic[Value]))</f>
        <v>JITTP2</v>
      </c>
      <c r="AH27" s="3" cm="1">
        <f t="array" ref="AH27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I27" s="3" t="str" cm="1">
        <f t="array" ref="AI27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27" s="3"/>
    </row>
    <row r="28" spans="1:36" x14ac:dyDescent="0.25">
      <c r="A28" s="3" t="s">
        <v>46</v>
      </c>
      <c r="B28" s="3" t="s">
        <v>187</v>
      </c>
      <c r="C28" s="3" t="s">
        <v>214</v>
      </c>
      <c r="D28" s="3"/>
      <c r="E28" s="3" t="s">
        <v>254</v>
      </c>
      <c r="F28" s="3" t="s">
        <v>158</v>
      </c>
      <c r="G28" s="3" t="s">
        <v>148</v>
      </c>
      <c r="H28" s="3" t="s">
        <v>274</v>
      </c>
      <c r="I28" s="3"/>
      <c r="J28" s="3" t="s">
        <v>284</v>
      </c>
      <c r="K28" s="3">
        <v>26</v>
      </c>
      <c r="L28" s="3">
        <v>23</v>
      </c>
      <c r="M28" s="3"/>
      <c r="N28" s="3" t="str">
        <f>IF(JiraDataset[[#This Row],[IssueType]]="Epic",JiraDataset[[#This Row],[Summary]],"")</f>
        <v/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 t="str">
        <f>IF(JiraDataset[[#This Row],[RowType]]=cfg_type_skip,"",IFERROR(VLOOKUP(JiraDataset[[#This Row],[Sprint Name]], 'Config - Mappings'!$G$4:$H$8, 2, FALSE), ""))</f>
        <v/>
      </c>
      <c r="AD28" s="3" t="str">
        <f>IF(JiraDataset[[#This Row],[RowType]]=cfg_type_skip,"",_xlfn.XLOOKUP("Creation Marker", CfgMisc[Name], CfgMisc[Value],"",1))</f>
        <v>imported</v>
      </c>
      <c r="AE28" s="3" t="str">
        <f>IF(JiraDataset[[#This Row],[RowType]]=cfg_type_skip,"",_xlfn.XLOOKUP("Work Group", CfgMisc[Name], CfgMisc[Value],"",1))</f>
        <v>pod_test</v>
      </c>
      <c r="AF28" s="3" t="str">
        <f>IF(JiraDataset[[#This Row],[RowType]]=cfg_type_skip,"",IFERROR(VLOOKUP(JiraDataset[[#This Row],[Assignee.Name]], 'Config - Mappings'!$A$4:$B$26, 2, FALSE), ""))</f>
        <v>712020:09876543212345678901</v>
      </c>
      <c r="AG28" s="3" t="str">
        <f>IF(JiraDataset[[#This Row],[RowType]]=cfg_type_skip,"",_xlfn.XLOOKUP("jira.project.key", CfgBasic[Name], CfgBasic[Value]))</f>
        <v>JITTP2</v>
      </c>
      <c r="AH28" s="3" cm="1">
        <f t="array" ref="AH28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I28" s="3" t="str" cm="1">
        <f t="array" ref="AI28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28" s="3"/>
    </row>
    <row r="29" spans="1:36" x14ac:dyDescent="0.25">
      <c r="A29" s="3" t="s">
        <v>89</v>
      </c>
      <c r="B29" s="3" t="s">
        <v>188</v>
      </c>
      <c r="C29" s="3" t="s">
        <v>215</v>
      </c>
      <c r="D29" s="3"/>
      <c r="E29" s="3" t="s">
        <v>255</v>
      </c>
      <c r="F29" s="3" t="s">
        <v>158</v>
      </c>
      <c r="G29" s="3" t="s">
        <v>149</v>
      </c>
      <c r="H29" s="3" t="s">
        <v>272</v>
      </c>
      <c r="I29" s="3"/>
      <c r="J29" s="3" t="s">
        <v>283</v>
      </c>
      <c r="K29" s="3">
        <v>27</v>
      </c>
      <c r="L29" s="3">
        <v>24</v>
      </c>
      <c r="M29" s="3"/>
      <c r="N29" s="3" t="str">
        <f>IF(JiraDataset[[#This Row],[IssueType]]="Epic",JiraDataset[[#This Row],[Summary]],"")</f>
        <v/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 t="str">
        <f>IF(JiraDataset[[#This Row],[RowType]]=cfg_type_skip,"",IFERROR(VLOOKUP(JiraDataset[[#This Row],[Sprint Name]], 'Config - Mappings'!$G$4:$H$8, 2, FALSE), ""))</f>
        <v/>
      </c>
      <c r="AD29" s="3" t="str">
        <f>IF(JiraDataset[[#This Row],[RowType]]=cfg_type_skip,"",_xlfn.XLOOKUP("Creation Marker", CfgMisc[Name], CfgMisc[Value],"",1))</f>
        <v>imported</v>
      </c>
      <c r="AE29" s="3" t="str">
        <f>IF(JiraDataset[[#This Row],[RowType]]=cfg_type_skip,"",_xlfn.XLOOKUP("Work Group", CfgMisc[Name], CfgMisc[Value],"",1))</f>
        <v>pod_test</v>
      </c>
      <c r="AF29" s="3" t="str">
        <f>IF(JiraDataset[[#This Row],[RowType]]=cfg_type_skip,"",IFERROR(VLOOKUP(JiraDataset[[#This Row],[Assignee.Name]], 'Config - Mappings'!$A$4:$B$26, 2, FALSE), ""))</f>
        <v>712020:09876543212345678902</v>
      </c>
      <c r="AG29" s="3" t="str">
        <f>IF(JiraDataset[[#This Row],[RowType]]=cfg_type_skip,"",_xlfn.XLOOKUP("jira.project.key", CfgBasic[Name], CfgBasic[Value]))</f>
        <v>JITTP2</v>
      </c>
      <c r="AH29" s="3" cm="1">
        <f t="array" ref="AH29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1296000</v>
      </c>
      <c r="AI29" s="3" t="str" cm="1">
        <f t="array" ref="AI29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29" s="3"/>
    </row>
    <row r="30" spans="1:36" x14ac:dyDescent="0.25">
      <c r="A30" s="3" t="s">
        <v>81</v>
      </c>
      <c r="B30" s="3" t="s">
        <v>184</v>
      </c>
      <c r="C30" s="3" t="s">
        <v>216</v>
      </c>
      <c r="D30" s="3"/>
      <c r="E30" s="3" t="s">
        <v>256</v>
      </c>
      <c r="F30" s="3" t="s">
        <v>158</v>
      </c>
      <c r="G30" s="3" t="s">
        <v>150</v>
      </c>
      <c r="H30" s="3" t="s">
        <v>277</v>
      </c>
      <c r="I30" s="3"/>
      <c r="J30" s="3" t="s">
        <v>280</v>
      </c>
      <c r="K30" s="3">
        <v>28</v>
      </c>
      <c r="L30" s="3">
        <v>17</v>
      </c>
      <c r="M30" s="3"/>
      <c r="N30" s="3" t="str">
        <f>IF(JiraDataset[[#This Row],[IssueType]]="Epic",JiraDataset[[#This Row],[Summary]],"")</f>
        <v>Localization &amp; Accessibility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 t="str">
        <f>IF(JiraDataset[[#This Row],[RowType]]=cfg_type_skip,"",IFERROR(VLOOKUP(JiraDataset[[#This Row],[Sprint Name]], 'Config - Mappings'!$G$4:$H$8, 2, FALSE), ""))</f>
        <v/>
      </c>
      <c r="AD30" s="3" t="str">
        <f>IF(JiraDataset[[#This Row],[RowType]]=cfg_type_skip,"",_xlfn.XLOOKUP("Creation Marker", CfgMisc[Name], CfgMisc[Value],"",1))</f>
        <v>imported</v>
      </c>
      <c r="AE30" s="3" t="str">
        <f>IF(JiraDataset[[#This Row],[RowType]]=cfg_type_skip,"",_xlfn.XLOOKUP("Work Group", CfgMisc[Name], CfgMisc[Value],"",1))</f>
        <v>pod_test</v>
      </c>
      <c r="AF30" s="3" t="str">
        <f>IF(JiraDataset[[#This Row],[RowType]]=cfg_type_skip,"",IFERROR(VLOOKUP(JiraDataset[[#This Row],[Assignee.Name]], 'Config - Mappings'!$A$4:$B$26, 2, FALSE), ""))</f>
        <v>712020:09876543212345678903</v>
      </c>
      <c r="AG30" s="3" t="str">
        <f>IF(JiraDataset[[#This Row],[RowType]]=cfg_type_skip,"",_xlfn.XLOOKUP("jira.project.key", CfgBasic[Name], CfgBasic[Value]))</f>
        <v>JITTP2</v>
      </c>
      <c r="AH30" s="3" cm="1">
        <f t="array" ref="AH30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I30" s="3" t="str" cm="1">
        <f t="array" ref="AI30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30" s="3"/>
    </row>
    <row r="31" spans="1:36" x14ac:dyDescent="0.25">
      <c r="A31" s="3" t="s">
        <v>37</v>
      </c>
      <c r="B31" s="3" t="s">
        <v>185</v>
      </c>
      <c r="C31" s="3" t="s">
        <v>217</v>
      </c>
      <c r="D31" s="3"/>
      <c r="E31" s="3" t="s">
        <v>257</v>
      </c>
      <c r="F31" s="3" t="s">
        <v>158</v>
      </c>
      <c r="G31" s="3" t="s">
        <v>151</v>
      </c>
      <c r="H31" s="3" t="s">
        <v>277</v>
      </c>
      <c r="I31" s="3"/>
      <c r="J31" s="3" t="s">
        <v>281</v>
      </c>
      <c r="K31" s="3">
        <v>29</v>
      </c>
      <c r="L31" s="3">
        <v>28</v>
      </c>
      <c r="M31" s="3"/>
      <c r="N31" s="3" t="str">
        <f>IF(JiraDataset[[#This Row],[IssueType]]="Epic",JiraDataset[[#This Row],[Summary]],"")</f>
        <v/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 t="str">
        <f>IF(JiraDataset[[#This Row],[RowType]]=cfg_type_skip,"",IFERROR(VLOOKUP(JiraDataset[[#This Row],[Sprint Name]], 'Config - Mappings'!$G$4:$H$8, 2, FALSE), ""))</f>
        <v/>
      </c>
      <c r="AD31" s="3" t="str">
        <f>IF(JiraDataset[[#This Row],[RowType]]=cfg_type_skip,"",_xlfn.XLOOKUP("Creation Marker", CfgMisc[Name], CfgMisc[Value],"",1))</f>
        <v>imported</v>
      </c>
      <c r="AE31" s="3" t="str">
        <f>IF(JiraDataset[[#This Row],[RowType]]=cfg_type_skip,"",_xlfn.XLOOKUP("Work Group", CfgMisc[Name], CfgMisc[Value],"",1))</f>
        <v>pod_test</v>
      </c>
      <c r="AF31" s="3" t="str">
        <f>IF(JiraDataset[[#This Row],[RowType]]=cfg_type_skip,"",IFERROR(VLOOKUP(JiraDataset[[#This Row],[Assignee.Name]], 'Config - Mappings'!$A$4:$B$26, 2, FALSE), ""))</f>
        <v>712020:09876543212345678904</v>
      </c>
      <c r="AG31" s="3" t="str">
        <f>IF(JiraDataset[[#This Row],[RowType]]=cfg_type_skip,"",_xlfn.XLOOKUP("jira.project.key", CfgBasic[Name], CfgBasic[Value]))</f>
        <v>JITTP2</v>
      </c>
      <c r="AH31" s="3" cm="1">
        <f t="array" ref="AH3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I31" s="3" t="str" cm="1">
        <f t="array" ref="AI31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31" s="3"/>
    </row>
    <row r="32" spans="1:36" x14ac:dyDescent="0.25">
      <c r="A32" s="3" t="s">
        <v>90</v>
      </c>
      <c r="B32" s="3" t="s">
        <v>186</v>
      </c>
      <c r="C32" s="3" t="s">
        <v>218</v>
      </c>
      <c r="D32" s="3"/>
      <c r="E32" s="3" t="s">
        <v>258</v>
      </c>
      <c r="F32" s="3" t="s">
        <v>158</v>
      </c>
      <c r="G32" s="3" t="s">
        <v>152</v>
      </c>
      <c r="H32" s="3" t="s">
        <v>271</v>
      </c>
      <c r="I32" s="3"/>
      <c r="J32" s="3" t="s">
        <v>285</v>
      </c>
      <c r="K32" s="3">
        <v>30</v>
      </c>
      <c r="L32" s="3">
        <v>28</v>
      </c>
      <c r="M32" s="3"/>
      <c r="N32" s="3" t="str">
        <f>IF(JiraDataset[[#This Row],[IssueType]]="Epic",JiraDataset[[#This Row],[Summary]],"")</f>
        <v/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 t="str">
        <f>IF(JiraDataset[[#This Row],[RowType]]=cfg_type_skip,"",IFERROR(VLOOKUP(JiraDataset[[#This Row],[Sprint Name]], 'Config - Mappings'!$G$4:$H$8, 2, FALSE), ""))</f>
        <v/>
      </c>
      <c r="AD32" s="3" t="str">
        <f>IF(JiraDataset[[#This Row],[RowType]]=cfg_type_skip,"",_xlfn.XLOOKUP("Creation Marker", CfgMisc[Name], CfgMisc[Value],"",1))</f>
        <v>imported</v>
      </c>
      <c r="AE32" s="3" t="str">
        <f>IF(JiraDataset[[#This Row],[RowType]]=cfg_type_skip,"",_xlfn.XLOOKUP("Work Group", CfgMisc[Name], CfgMisc[Value],"",1))</f>
        <v>pod_test</v>
      </c>
      <c r="AF32" s="3" t="str">
        <f>IF(JiraDataset[[#This Row],[RowType]]=cfg_type_skip,"",IFERROR(VLOOKUP(JiraDataset[[#This Row],[Assignee.Name]], 'Config - Mappings'!$A$4:$B$26, 2, FALSE), ""))</f>
        <v>712020:09876543212345678905</v>
      </c>
      <c r="AG32" s="3" t="str">
        <f>IF(JiraDataset[[#This Row],[RowType]]=cfg_type_skip,"",_xlfn.XLOOKUP("jira.project.key", CfgBasic[Name], CfgBasic[Value]))</f>
        <v>JITTP2</v>
      </c>
      <c r="AH32" s="3" cm="1">
        <f t="array" ref="AH32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</v>
      </c>
      <c r="AI32" s="3" t="str" cm="1">
        <f t="array" ref="AI32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32" s="3"/>
    </row>
    <row r="33" spans="1:36" x14ac:dyDescent="0.25">
      <c r="A33" s="3" t="s">
        <v>47</v>
      </c>
      <c r="B33" s="3" t="s">
        <v>187</v>
      </c>
      <c r="C33" s="3" t="s">
        <v>219</v>
      </c>
      <c r="D33" s="3"/>
      <c r="E33" s="3" t="s">
        <v>259</v>
      </c>
      <c r="F33" s="3" t="s">
        <v>158</v>
      </c>
      <c r="G33" s="3" t="s">
        <v>148</v>
      </c>
      <c r="H33" s="3" t="s">
        <v>271</v>
      </c>
      <c r="I33" s="3"/>
      <c r="J33" s="3" t="s">
        <v>284</v>
      </c>
      <c r="K33" s="3">
        <v>31</v>
      </c>
      <c r="L33" s="3">
        <v>28</v>
      </c>
      <c r="M33" s="3"/>
      <c r="N33" s="3" t="str">
        <f>IF(JiraDataset[[#This Row],[IssueType]]="Epic",JiraDataset[[#This Row],[Summary]],"")</f>
        <v/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 t="str">
        <f>IF(JiraDataset[[#This Row],[RowType]]=cfg_type_skip,"",IFERROR(VLOOKUP(JiraDataset[[#This Row],[Sprint Name]], 'Config - Mappings'!$G$4:$H$8, 2, FALSE), ""))</f>
        <v/>
      </c>
      <c r="AD33" s="3" t="str">
        <f>IF(JiraDataset[[#This Row],[RowType]]=cfg_type_skip,"",_xlfn.XLOOKUP("Creation Marker", CfgMisc[Name], CfgMisc[Value],"",1))</f>
        <v>imported</v>
      </c>
      <c r="AE33" s="3" t="str">
        <f>IF(JiraDataset[[#This Row],[RowType]]=cfg_type_skip,"",_xlfn.XLOOKUP("Work Group", CfgMisc[Name], CfgMisc[Value],"",1))</f>
        <v>pod_test</v>
      </c>
      <c r="AF33" s="3" t="str">
        <f>IF(JiraDataset[[#This Row],[RowType]]=cfg_type_skip,"",IFERROR(VLOOKUP(JiraDataset[[#This Row],[Assignee.Name]], 'Config - Mappings'!$A$4:$B$26, 2, FALSE), ""))</f>
        <v>712020:09876543212345678901</v>
      </c>
      <c r="AG33" s="3" t="str">
        <f>IF(JiraDataset[[#This Row],[RowType]]=cfg_type_skip,"",_xlfn.XLOOKUP("jira.project.key", CfgBasic[Name], CfgBasic[Value]))</f>
        <v>JITTP2</v>
      </c>
      <c r="AH33" s="3" cm="1">
        <f t="array" ref="AH33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I33" s="3" t="str" cm="1">
        <f t="array" ref="AI33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33" s="3"/>
    </row>
    <row r="34" spans="1:36" x14ac:dyDescent="0.25">
      <c r="A34" s="3" t="s">
        <v>37</v>
      </c>
      <c r="B34" s="3" t="s">
        <v>188</v>
      </c>
      <c r="C34" s="3" t="s">
        <v>220</v>
      </c>
      <c r="D34" s="3"/>
      <c r="E34" s="3" t="s">
        <v>260</v>
      </c>
      <c r="F34" s="3" t="s">
        <v>158</v>
      </c>
      <c r="G34" s="3" t="s">
        <v>149</v>
      </c>
      <c r="H34" s="3" t="s">
        <v>272</v>
      </c>
      <c r="I34" s="3"/>
      <c r="J34" s="3" t="s">
        <v>284</v>
      </c>
      <c r="K34" s="3">
        <v>32</v>
      </c>
      <c r="L34" s="3">
        <v>31</v>
      </c>
      <c r="M34" s="3"/>
      <c r="N34" s="3" t="str">
        <f>IF(JiraDataset[[#This Row],[IssueType]]="Epic",JiraDataset[[#This Row],[Summary]],"")</f>
        <v/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 t="str">
        <f>IF(JiraDataset[[#This Row],[RowType]]=cfg_type_skip,"",IFERROR(VLOOKUP(JiraDataset[[#This Row],[Sprint Name]], 'Config - Mappings'!$G$4:$H$8, 2, FALSE), ""))</f>
        <v/>
      </c>
      <c r="AD34" s="3" t="str">
        <f>IF(JiraDataset[[#This Row],[RowType]]=cfg_type_skip,"",_xlfn.XLOOKUP("Creation Marker", CfgMisc[Name], CfgMisc[Value],"",1))</f>
        <v>imported</v>
      </c>
      <c r="AE34" s="3" t="str">
        <f>IF(JiraDataset[[#This Row],[RowType]]=cfg_type_skip,"",_xlfn.XLOOKUP("Work Group", CfgMisc[Name], CfgMisc[Value],"",1))</f>
        <v>pod_test</v>
      </c>
      <c r="AF34" s="3" t="str">
        <f>IF(JiraDataset[[#This Row],[RowType]]=cfg_type_skip,"",IFERROR(VLOOKUP(JiraDataset[[#This Row],[Assignee.Name]], 'Config - Mappings'!$A$4:$B$26, 2, FALSE), ""))</f>
        <v>712020:09876543212345678902</v>
      </c>
      <c r="AG34" s="3" t="str">
        <f>IF(JiraDataset[[#This Row],[RowType]]=cfg_type_skip,"",_xlfn.XLOOKUP("jira.project.key", CfgBasic[Name], CfgBasic[Value]))</f>
        <v>JITTP2</v>
      </c>
      <c r="AH34" s="3" cm="1">
        <f t="array" ref="AH34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I34" s="3" t="str" cm="1">
        <f t="array" ref="AI34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34" s="3"/>
    </row>
    <row r="35" spans="1:36" x14ac:dyDescent="0.25">
      <c r="A35" s="3" t="s">
        <v>81</v>
      </c>
      <c r="B35" s="3" t="s">
        <v>184</v>
      </c>
      <c r="C35" s="3" t="s">
        <v>221</v>
      </c>
      <c r="D35" s="3"/>
      <c r="E35" s="3" t="s">
        <v>261</v>
      </c>
      <c r="F35" s="3" t="s">
        <v>158</v>
      </c>
      <c r="G35" s="3" t="s">
        <v>150</v>
      </c>
      <c r="H35" s="3" t="s">
        <v>273</v>
      </c>
      <c r="I35" s="3"/>
      <c r="J35" s="3" t="s">
        <v>280</v>
      </c>
      <c r="K35" s="3">
        <v>33</v>
      </c>
      <c r="L35" s="3">
        <v>17</v>
      </c>
      <c r="M35" s="3"/>
      <c r="N35" s="3" t="str">
        <f>IF(JiraDataset[[#This Row],[IssueType]]="Epic",JiraDataset[[#This Row],[Summary]],"")</f>
        <v>Security Hardening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 t="str">
        <f>IF(JiraDataset[[#This Row],[RowType]]=cfg_type_skip,"",IFERROR(VLOOKUP(JiraDataset[[#This Row],[Sprint Name]], 'Config - Mappings'!$G$4:$H$8, 2, FALSE), ""))</f>
        <v/>
      </c>
      <c r="AD35" s="3" t="str">
        <f>IF(JiraDataset[[#This Row],[RowType]]=cfg_type_skip,"",_xlfn.XLOOKUP("Creation Marker", CfgMisc[Name], CfgMisc[Value],"",1))</f>
        <v>imported</v>
      </c>
      <c r="AE35" s="3" t="str">
        <f>IF(JiraDataset[[#This Row],[RowType]]=cfg_type_skip,"",_xlfn.XLOOKUP("Work Group", CfgMisc[Name], CfgMisc[Value],"",1))</f>
        <v>pod_test</v>
      </c>
      <c r="AF35" s="3" t="str">
        <f>IF(JiraDataset[[#This Row],[RowType]]=cfg_type_skip,"",IFERROR(VLOOKUP(JiraDataset[[#This Row],[Assignee.Name]], 'Config - Mappings'!$A$4:$B$26, 2, FALSE), ""))</f>
        <v>712020:09876543212345678903</v>
      </c>
      <c r="AG35" s="3" t="str">
        <f>IF(JiraDataset[[#This Row],[RowType]]=cfg_type_skip,"",_xlfn.XLOOKUP("jira.project.key", CfgBasic[Name], CfgBasic[Value]))</f>
        <v>JITTP2</v>
      </c>
      <c r="AH35" s="3" cm="1">
        <f t="array" ref="AH35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I35" s="3" t="str" cm="1">
        <f t="array" ref="AI35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35" s="3"/>
    </row>
    <row r="36" spans="1:36" x14ac:dyDescent="0.25">
      <c r="A36" s="3" t="s">
        <v>37</v>
      </c>
      <c r="B36" s="3" t="s">
        <v>185</v>
      </c>
      <c r="C36" s="3" t="s">
        <v>222</v>
      </c>
      <c r="D36" s="3"/>
      <c r="E36" s="3" t="s">
        <v>262</v>
      </c>
      <c r="F36" s="3" t="s">
        <v>158</v>
      </c>
      <c r="G36" s="3" t="s">
        <v>151</v>
      </c>
      <c r="H36" s="3" t="s">
        <v>274</v>
      </c>
      <c r="I36" s="3"/>
      <c r="J36" s="3" t="s">
        <v>281</v>
      </c>
      <c r="K36" s="3">
        <v>34</v>
      </c>
      <c r="L36" s="3">
        <v>33</v>
      </c>
      <c r="M36" s="3"/>
      <c r="N36" s="3" t="str">
        <f>IF(JiraDataset[[#This Row],[IssueType]]="Epic",JiraDataset[[#This Row],[Summary]],"")</f>
        <v/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 t="str">
        <f>IF(JiraDataset[[#This Row],[RowType]]=cfg_type_skip,"",IFERROR(VLOOKUP(JiraDataset[[#This Row],[Sprint Name]], 'Config - Mappings'!$G$4:$H$8, 2, FALSE), ""))</f>
        <v/>
      </c>
      <c r="AD36" s="3" t="str">
        <f>IF(JiraDataset[[#This Row],[RowType]]=cfg_type_skip,"",_xlfn.XLOOKUP("Creation Marker", CfgMisc[Name], CfgMisc[Value],"",1))</f>
        <v>imported</v>
      </c>
      <c r="AE36" s="3" t="str">
        <f>IF(JiraDataset[[#This Row],[RowType]]=cfg_type_skip,"",_xlfn.XLOOKUP("Work Group", CfgMisc[Name], CfgMisc[Value],"",1))</f>
        <v>pod_test</v>
      </c>
      <c r="AF36" s="3" t="str">
        <f>IF(JiraDataset[[#This Row],[RowType]]=cfg_type_skip,"",IFERROR(VLOOKUP(JiraDataset[[#This Row],[Assignee.Name]], 'Config - Mappings'!$A$4:$B$26, 2, FALSE), ""))</f>
        <v>712020:09876543212345678904</v>
      </c>
      <c r="AG36" s="3" t="str">
        <f>IF(JiraDataset[[#This Row],[RowType]]=cfg_type_skip,"",_xlfn.XLOOKUP("jira.project.key", CfgBasic[Name], CfgBasic[Value]))</f>
        <v>JITTP2</v>
      </c>
      <c r="AH36" s="3" cm="1">
        <f t="array" ref="AH36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I36" s="3" t="str" cm="1">
        <f t="array" ref="AI36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36" s="3"/>
    </row>
    <row r="37" spans="1:36" x14ac:dyDescent="0.25">
      <c r="A37" s="3" t="s">
        <v>46</v>
      </c>
      <c r="B37" s="3" t="s">
        <v>186</v>
      </c>
      <c r="C37" s="3" t="s">
        <v>223</v>
      </c>
      <c r="D37" s="3"/>
      <c r="E37" s="3" t="s">
        <v>263</v>
      </c>
      <c r="F37" s="3" t="s">
        <v>158</v>
      </c>
      <c r="G37" s="3" t="s">
        <v>152</v>
      </c>
      <c r="H37" s="3" t="s">
        <v>274</v>
      </c>
      <c r="I37" s="3"/>
      <c r="J37" s="3" t="s">
        <v>285</v>
      </c>
      <c r="K37" s="3">
        <v>35</v>
      </c>
      <c r="L37" s="3">
        <v>33</v>
      </c>
      <c r="M37" s="3"/>
      <c r="N37" s="3" t="str">
        <f>IF(JiraDataset[[#This Row],[IssueType]]="Epic",JiraDataset[[#This Row],[Summary]],"")</f>
        <v/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 t="str">
        <f>IF(JiraDataset[[#This Row],[RowType]]=cfg_type_skip,"",IFERROR(VLOOKUP(JiraDataset[[#This Row],[Sprint Name]], 'Config - Mappings'!$G$4:$H$8, 2, FALSE), ""))</f>
        <v/>
      </c>
      <c r="AD37" s="3" t="str">
        <f>IF(JiraDataset[[#This Row],[RowType]]=cfg_type_skip,"",_xlfn.XLOOKUP("Creation Marker", CfgMisc[Name], CfgMisc[Value],"",1))</f>
        <v>imported</v>
      </c>
      <c r="AE37" s="3" t="str">
        <f>IF(JiraDataset[[#This Row],[RowType]]=cfg_type_skip,"",_xlfn.XLOOKUP("Work Group", CfgMisc[Name], CfgMisc[Value],"",1))</f>
        <v>pod_test</v>
      </c>
      <c r="AF37" s="3" t="str">
        <f>IF(JiraDataset[[#This Row],[RowType]]=cfg_type_skip,"",IFERROR(VLOOKUP(JiraDataset[[#This Row],[Assignee.Name]], 'Config - Mappings'!$A$4:$B$26, 2, FALSE), ""))</f>
        <v>712020:09876543212345678905</v>
      </c>
      <c r="AG37" s="3" t="str">
        <f>IF(JiraDataset[[#This Row],[RowType]]=cfg_type_skip,"",_xlfn.XLOOKUP("jira.project.key", CfgBasic[Name], CfgBasic[Value]))</f>
        <v>JITTP2</v>
      </c>
      <c r="AH37" s="3" cm="1">
        <f t="array" ref="AH37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</v>
      </c>
      <c r="AI37" s="3" t="str" cm="1">
        <f t="array" ref="AI37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37" s="3"/>
    </row>
    <row r="38" spans="1:36" x14ac:dyDescent="0.25">
      <c r="A38" s="3" t="s">
        <v>89</v>
      </c>
      <c r="B38" s="3" t="s">
        <v>187</v>
      </c>
      <c r="C38" s="3" t="s">
        <v>224</v>
      </c>
      <c r="D38" s="3"/>
      <c r="E38" s="3" t="s">
        <v>264</v>
      </c>
      <c r="F38" s="3" t="s">
        <v>158</v>
      </c>
      <c r="G38" s="3" t="s">
        <v>148</v>
      </c>
      <c r="H38" s="3" t="s">
        <v>273</v>
      </c>
      <c r="I38" s="3"/>
      <c r="J38" s="3" t="s">
        <v>284</v>
      </c>
      <c r="K38" s="3">
        <v>36</v>
      </c>
      <c r="L38" s="3">
        <v>33</v>
      </c>
      <c r="M38" s="3"/>
      <c r="N38" s="3" t="str">
        <f>IF(JiraDataset[[#This Row],[IssueType]]="Epic",JiraDataset[[#This Row],[Summary]],"")</f>
        <v/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 t="str">
        <f>IF(JiraDataset[[#This Row],[RowType]]=cfg_type_skip,"",IFERROR(VLOOKUP(JiraDataset[[#This Row],[Sprint Name]], 'Config - Mappings'!$G$4:$H$8, 2, FALSE), ""))</f>
        <v/>
      </c>
      <c r="AD38" s="3" t="str">
        <f>IF(JiraDataset[[#This Row],[RowType]]=cfg_type_skip,"",_xlfn.XLOOKUP("Creation Marker", CfgMisc[Name], CfgMisc[Value],"",1))</f>
        <v>imported</v>
      </c>
      <c r="AE38" s="3" t="str">
        <f>IF(JiraDataset[[#This Row],[RowType]]=cfg_type_skip,"",_xlfn.XLOOKUP("Work Group", CfgMisc[Name], CfgMisc[Value],"",1))</f>
        <v>pod_test</v>
      </c>
      <c r="AF38" s="3" t="str">
        <f>IF(JiraDataset[[#This Row],[RowType]]=cfg_type_skip,"",IFERROR(VLOOKUP(JiraDataset[[#This Row],[Assignee.Name]], 'Config - Mappings'!$A$4:$B$26, 2, FALSE), ""))</f>
        <v>712020:09876543212345678901</v>
      </c>
      <c r="AG38" s="3" t="str">
        <f>IF(JiraDataset[[#This Row],[RowType]]=cfg_type_skip,"",_xlfn.XLOOKUP("jira.project.key", CfgBasic[Name], CfgBasic[Value]))</f>
        <v>JITTP2</v>
      </c>
      <c r="AH38" s="3" cm="1">
        <f t="array" ref="AH38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I38" s="3" t="str" cm="1">
        <f t="array" ref="AI38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38" s="3"/>
    </row>
    <row r="39" spans="1:36" x14ac:dyDescent="0.25">
      <c r="A39" s="3" t="s">
        <v>90</v>
      </c>
      <c r="B39" s="3" t="s">
        <v>188</v>
      </c>
      <c r="C39" s="3" t="s">
        <v>225</v>
      </c>
      <c r="D39" s="3"/>
      <c r="E39" s="3" t="s">
        <v>265</v>
      </c>
      <c r="F39" s="3" t="s">
        <v>158</v>
      </c>
      <c r="G39" s="3" t="s">
        <v>149</v>
      </c>
      <c r="H39" s="3" t="s">
        <v>272</v>
      </c>
      <c r="I39" s="3"/>
      <c r="J39" s="3" t="s">
        <v>284</v>
      </c>
      <c r="K39" s="3">
        <v>37</v>
      </c>
      <c r="L39" s="3">
        <v>36</v>
      </c>
      <c r="M39" s="3"/>
      <c r="N39" s="3" t="str">
        <f>IF(JiraDataset[[#This Row],[IssueType]]="Epic",JiraDataset[[#This Row],[Summary]],"")</f>
        <v/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 t="str">
        <f>IF(JiraDataset[[#This Row],[RowType]]=cfg_type_skip,"",IFERROR(VLOOKUP(JiraDataset[[#This Row],[Sprint Name]], 'Config - Mappings'!$G$4:$H$8, 2, FALSE), ""))</f>
        <v/>
      </c>
      <c r="AD39" s="3" t="str">
        <f>IF(JiraDataset[[#This Row],[RowType]]=cfg_type_skip,"",_xlfn.XLOOKUP("Creation Marker", CfgMisc[Name], CfgMisc[Value],"",1))</f>
        <v>imported</v>
      </c>
      <c r="AE39" s="3" t="str">
        <f>IF(JiraDataset[[#This Row],[RowType]]=cfg_type_skip,"",_xlfn.XLOOKUP("Work Group", CfgMisc[Name], CfgMisc[Value],"",1))</f>
        <v>pod_test</v>
      </c>
      <c r="AF39" s="3" t="str">
        <f>IF(JiraDataset[[#This Row],[RowType]]=cfg_type_skip,"",IFERROR(VLOOKUP(JiraDataset[[#This Row],[Assignee.Name]], 'Config - Mappings'!$A$4:$B$26, 2, FALSE), ""))</f>
        <v>712020:09876543212345678902</v>
      </c>
      <c r="AG39" s="3" t="str">
        <f>IF(JiraDataset[[#This Row],[RowType]]=cfg_type_skip,"",_xlfn.XLOOKUP("jira.project.key", CfgBasic[Name], CfgBasic[Value]))</f>
        <v>JITTP2</v>
      </c>
      <c r="AH39" s="3" cm="1">
        <f t="array" ref="AH39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I39" s="3" t="str" cm="1">
        <f t="array" ref="AI39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39" s="3"/>
    </row>
    <row r="40" spans="1:36" x14ac:dyDescent="0.25">
      <c r="A40" s="3" t="s">
        <v>47</v>
      </c>
      <c r="B40" s="3" t="s">
        <v>184</v>
      </c>
      <c r="C40" s="3" t="s">
        <v>226</v>
      </c>
      <c r="D40" s="3"/>
      <c r="E40" s="3" t="s">
        <v>266</v>
      </c>
      <c r="F40" s="3" t="s">
        <v>158</v>
      </c>
      <c r="G40" s="3" t="s">
        <v>150</v>
      </c>
      <c r="H40" s="3" t="s">
        <v>278</v>
      </c>
      <c r="I40" s="3"/>
      <c r="J40" s="3" t="s">
        <v>280</v>
      </c>
      <c r="K40" s="3">
        <v>38</v>
      </c>
      <c r="L40" s="3">
        <v>1</v>
      </c>
      <c r="M40" s="3"/>
      <c r="N40" s="3" t="str">
        <f>IF(JiraDataset[[#This Row],[IssueType]]="Epic",JiraDataset[[#This Row],[Summary]],"")</f>
        <v>Analytics &amp; Reporting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 t="str">
        <f>IF(JiraDataset[[#This Row],[RowType]]=cfg_type_skip,"",IFERROR(VLOOKUP(JiraDataset[[#This Row],[Sprint Name]], 'Config - Mappings'!$G$4:$H$8, 2, FALSE), ""))</f>
        <v/>
      </c>
      <c r="AD40" s="3" t="str">
        <f>IF(JiraDataset[[#This Row],[RowType]]=cfg_type_skip,"",_xlfn.XLOOKUP("Creation Marker", CfgMisc[Name], CfgMisc[Value],"",1))</f>
        <v>imported</v>
      </c>
      <c r="AE40" s="3" t="str">
        <f>IF(JiraDataset[[#This Row],[RowType]]=cfg_type_skip,"",_xlfn.XLOOKUP("Work Group", CfgMisc[Name], CfgMisc[Value],"",1))</f>
        <v>pod_test</v>
      </c>
      <c r="AF40" s="3" t="str">
        <f>IF(JiraDataset[[#This Row],[RowType]]=cfg_type_skip,"",IFERROR(VLOOKUP(JiraDataset[[#This Row],[Assignee.Name]], 'Config - Mappings'!$A$4:$B$26, 2, FALSE), ""))</f>
        <v>712020:09876543212345678903</v>
      </c>
      <c r="AG40" s="3" t="str">
        <f>IF(JiraDataset[[#This Row],[RowType]]=cfg_type_skip,"",_xlfn.XLOOKUP("jira.project.key", CfgBasic[Name], CfgBasic[Value]))</f>
        <v>JITTP2</v>
      </c>
      <c r="AH40" s="3" cm="1">
        <f t="array" ref="AH40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I40" s="3" t="str" cm="1">
        <f t="array" ref="AI40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40" s="3"/>
    </row>
    <row r="41" spans="1:36" x14ac:dyDescent="0.25">
      <c r="A41" s="3" t="s">
        <v>81</v>
      </c>
      <c r="B41" s="3" t="s">
        <v>185</v>
      </c>
      <c r="C41" s="3" t="s">
        <v>227</v>
      </c>
      <c r="D41" s="3"/>
      <c r="E41" s="3" t="s">
        <v>267</v>
      </c>
      <c r="F41" s="3" t="s">
        <v>158</v>
      </c>
      <c r="G41" s="3" t="s">
        <v>151</v>
      </c>
      <c r="H41" s="3" t="s">
        <v>278</v>
      </c>
      <c r="I41" s="3"/>
      <c r="J41" s="3" t="s">
        <v>281</v>
      </c>
      <c r="K41" s="3">
        <v>39</v>
      </c>
      <c r="L41" s="3">
        <v>38</v>
      </c>
      <c r="M41" s="3"/>
      <c r="N41" s="3" t="str">
        <f>IF(JiraDataset[[#This Row],[IssueType]]="Epic",JiraDataset[[#This Row],[Summary]],"")</f>
        <v/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 t="str">
        <f>IF(JiraDataset[[#This Row],[RowType]]=cfg_type_skip,"",IFERROR(VLOOKUP(JiraDataset[[#This Row],[Sprint Name]], 'Config - Mappings'!$G$4:$H$8, 2, FALSE), ""))</f>
        <v/>
      </c>
      <c r="AD41" s="3" t="str">
        <f>IF(JiraDataset[[#This Row],[RowType]]=cfg_type_skip,"",_xlfn.XLOOKUP("Creation Marker", CfgMisc[Name], CfgMisc[Value],"",1))</f>
        <v>imported</v>
      </c>
      <c r="AE41" s="3" t="str">
        <f>IF(JiraDataset[[#This Row],[RowType]]=cfg_type_skip,"",_xlfn.XLOOKUP("Work Group", CfgMisc[Name], CfgMisc[Value],"",1))</f>
        <v>pod_test</v>
      </c>
      <c r="AF41" s="3" t="str">
        <f>IF(JiraDataset[[#This Row],[RowType]]=cfg_type_skip,"",IFERROR(VLOOKUP(JiraDataset[[#This Row],[Assignee.Name]], 'Config - Mappings'!$A$4:$B$26, 2, FALSE), ""))</f>
        <v>712020:09876543212345678904</v>
      </c>
      <c r="AG41" s="3" t="str">
        <f>IF(JiraDataset[[#This Row],[RowType]]=cfg_type_skip,"",_xlfn.XLOOKUP("jira.project.key", CfgBasic[Name], CfgBasic[Value]))</f>
        <v>JITTP2</v>
      </c>
      <c r="AH41" s="3" cm="1">
        <f t="array" ref="AH4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I41" s="3" t="str" cm="1">
        <f t="array" ref="AI41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41" s="3"/>
    </row>
    <row r="42" spans="1:36" x14ac:dyDescent="0.25">
      <c r="A42" s="3" t="s">
        <v>37</v>
      </c>
      <c r="B42" s="3" t="s">
        <v>188</v>
      </c>
      <c r="C42" s="3" t="s">
        <v>228</v>
      </c>
      <c r="D42" s="3"/>
      <c r="E42" s="3" t="s">
        <v>268</v>
      </c>
      <c r="F42" s="3" t="s">
        <v>158</v>
      </c>
      <c r="G42" s="3" t="s">
        <v>152</v>
      </c>
      <c r="H42" s="3" t="s">
        <v>272</v>
      </c>
      <c r="I42" s="3"/>
      <c r="J42" s="3" t="s">
        <v>284</v>
      </c>
      <c r="K42" s="3">
        <v>40</v>
      </c>
      <c r="L42" s="3">
        <v>39</v>
      </c>
      <c r="M42" s="3"/>
      <c r="N42" s="3" t="str">
        <f>IF(JiraDataset[[#This Row],[IssueType]]="Epic",JiraDataset[[#This Row],[Summary]],"")</f>
        <v/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 t="str">
        <f>IF(JiraDataset[[#This Row],[RowType]]=cfg_type_skip,"",IFERROR(VLOOKUP(JiraDataset[[#This Row],[Sprint Name]], 'Config - Mappings'!$G$4:$H$8, 2, FALSE), ""))</f>
        <v/>
      </c>
      <c r="AD42" s="3" t="str">
        <f>IF(JiraDataset[[#This Row],[RowType]]=cfg_type_skip,"",_xlfn.XLOOKUP("Creation Marker", CfgMisc[Name], CfgMisc[Value],"",1))</f>
        <v>imported</v>
      </c>
      <c r="AE42" s="3" t="str">
        <f>IF(JiraDataset[[#This Row],[RowType]]=cfg_type_skip,"",_xlfn.XLOOKUP("Work Group", CfgMisc[Name], CfgMisc[Value],"",1))</f>
        <v>pod_test</v>
      </c>
      <c r="AF42" s="3" t="str">
        <f>IF(JiraDataset[[#This Row],[RowType]]=cfg_type_skip,"",IFERROR(VLOOKUP(JiraDataset[[#This Row],[Assignee.Name]], 'Config - Mappings'!$A$4:$B$26, 2, FALSE), ""))</f>
        <v>712020:09876543212345678905</v>
      </c>
      <c r="AG42" s="3" t="str">
        <f>IF(JiraDataset[[#This Row],[RowType]]=cfg_type_skip,"",_xlfn.XLOOKUP("jira.project.key", CfgBasic[Name], CfgBasic[Value]))</f>
        <v>JITTP2</v>
      </c>
      <c r="AH42" s="3" cm="1">
        <f t="array" ref="AH42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I42" s="3" t="str" cm="1">
        <f t="array" ref="AI42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42" s="3"/>
    </row>
  </sheetData>
  <protectedRanges>
    <protectedRange sqref="C1:AB2 A1:A1048576 P3:AD1048576 D3:N1048576" name="User Input"/>
    <protectedRange algorithmName="SHA-512" hashValue="tpheD+JLADkhiyalt6vInlMwkILPZx4PVQN/k2vmwjOBdYUuHaXCrwtObHeFz5dJh9f853O84pZ1Rn9Ujz33+A==" saltValue="9ir5NB4CJc/69S/Eh84/mA==" spinCount="100000" sqref="AC1:AI2 AE3:AK1048576" name="Computed values"/>
  </protectedRanges>
  <phoneticPr fontId="18" type="noConversion"/>
  <conditionalFormatting sqref="A2:A42 C2:C42">
    <cfRule type="containsText" dxfId="15" priority="429" operator="containsText" text="blocker">
      <formula>NOT(ISERROR(SEARCH("blocker",A2)))</formula>
    </cfRule>
    <cfRule type="containsText" dxfId="14" priority="430" operator="containsText" text="critical">
      <formula>NOT(ISERROR(SEARCH("critical",A2)))</formula>
    </cfRule>
    <cfRule type="containsText" dxfId="13" priority="431" operator="containsText" text="High">
      <formula>NOT(ISERROR(SEARCH("High",A2)))</formula>
    </cfRule>
    <cfRule type="containsText" dxfId="12" priority="432" operator="containsText" text="Medium">
      <formula>NOT(ISERROR(SEARCH("Medium",A2)))</formula>
    </cfRule>
  </conditionalFormatting>
  <conditionalFormatting sqref="A2:A42">
    <cfRule type="containsBlanks" dxfId="11" priority="493">
      <formula>LEN(TRIM(A2))=0</formula>
    </cfRule>
  </conditionalFormatting>
  <conditionalFormatting sqref="A2:AJ42">
    <cfRule type="expression" dxfId="10" priority="409" stopIfTrue="1">
      <formula>$B2=cfg_type_comment</formula>
    </cfRule>
    <cfRule type="expression" dxfId="9" priority="410">
      <formula>$B2=cfg_type_skip</formula>
    </cfRule>
    <cfRule type="expression" dxfId="8" priority="411">
      <formula>$B2=cfg_type_note</formula>
    </cfRule>
  </conditionalFormatting>
  <conditionalFormatting sqref="B2:B42">
    <cfRule type="containsText" dxfId="7" priority="413" operator="containsText" text="epic">
      <formula>NOT(ISERROR(SEARCH("epic",B2)))</formula>
    </cfRule>
    <cfRule type="containsText" dxfId="6" priority="427" operator="containsText" text="story">
      <formula>NOT(ISERROR(SEARCH("story",B2)))</formula>
    </cfRule>
    <cfRule type="containsText" dxfId="5" priority="433" operator="containsText" text="task">
      <formula>NOT(ISERROR(SEARCH("task",B2)))</formula>
    </cfRule>
    <cfRule type="containsBlanks" dxfId="4" priority="492">
      <formula>LEN(TRIM(B2))=0</formula>
    </cfRule>
  </conditionalFormatting>
  <conditionalFormatting sqref="B2:AJ42">
    <cfRule type="expression" dxfId="3" priority="1">
      <formula>$B2="Epic"</formula>
    </cfRule>
    <cfRule type="expression" dxfId="2" priority="2">
      <formula>$B2="Story"</formula>
    </cfRule>
  </conditionalFormatting>
  <conditionalFormatting sqref="C2:C42">
    <cfRule type="containsBlanks" dxfId="1" priority="494">
      <formula>LEN(TRIM(C2))=0</formula>
    </cfRule>
  </conditionalFormatting>
  <conditionalFormatting sqref="K2:L42">
    <cfRule type="containsBlanks" dxfId="0" priority="412">
      <formula>LEN(TRIM(K2))=0</formula>
    </cfRule>
  </conditionalFormatting>
  <dataValidations xWindow="1573" yWindow="665" count="23">
    <dataValidation type="whole" allowBlank="1" showErrorMessage="1" prompt="It must be a number (integer). This reference is only used during the import process." sqref="K2:L2" xr:uid="{005E18F2-4447-4781-8F18-5A58920A4F75}">
      <formula1>1</formula1>
      <formula2>1000</formula2>
    </dataValidation>
    <dataValidation allowBlank="1" showInputMessage="1" showErrorMessage="1" prompt="It must be a number (integer). This reference is only used during the import process." sqref="K1" xr:uid="{9C637146-F2E3-4D08-87A8-F70FD358E47E}"/>
    <dataValidation allowBlank="1" showInputMessage="1" showErrorMessage="1" prompt="Use the Issue ID value to link this work item to an Epic_x000a__x000a_Story Issues are not Child-Issues and should have Epic Link instead. " sqref="M1" xr:uid="{A61138FD-C2B2-49D2-810B-69EAE2230B73}"/>
    <dataValidation allowBlank="1" showInputMessage="1" showErrorMessage="1" prompt="This field should be the Issue ID or Issue Key of the child tasks. (upstream linkage is not possible)._x000a__x000a__x000a_To link Epics and Stories, use the Epic Link from the Story Issue." sqref="O1:Q1" xr:uid="{BE6B7503-A11A-4130-9D63-988F0CFED80E}"/>
    <dataValidation allowBlank="1" showErrorMessage="1" promptTitle="Warning" prompt="Field only used for Epic Issues, so they can be referenced in Story Issues via the Epic Link field.," sqref="L2 N2" xr:uid="{541AD292-0123-4B65-9663-081991FDF0C1}"/>
    <dataValidation allowBlank="1" showInputMessage="1" showErrorMessage="1" prompt="Field only used for Epic Issues, so they can be referenced in Story Issues via the Epic Link field.," sqref="L1" xr:uid="{64C73155-DEE7-497D-8A98-01E54655ACA8}"/>
    <dataValidation allowBlank="1" showInputMessage="1" showErrorMessage="1" prompt="It must be a number (integer) or the Work Item key. This reference is only used during the import process to set the parent." sqref="L1" xr:uid="{8A2BE248-5762-43AD-9C47-C5A92A2E2357}"/>
    <dataValidation allowBlank="1" showInputMessage="1" showErrorMessage="1" prompt="Field only used for Epic work item, so they can be referenced in Story work items via the Epic Link field. _x000a_DC Only" sqref="N1" xr:uid="{E8F6E005-1F9B-40F3-B24C-E2A3D286C532}"/>
    <dataValidation allowBlank="1" showInputMessage="1" showErrorMessage="1" error="must be a valid component" sqref="J2:J42" xr:uid="{386E3B68-2486-4DDE-BEB1-45F897521149}"/>
    <dataValidation type="whole" allowBlank="1" showErrorMessage="1" promptTitle="Warning" prompt="This field should be the Issue ID or Issue Key of the child tasks. (upstream linkage is not possible)._x000a__x000a__x000a_To link Epics and Stories, use the Epic Link from the Story Issue." sqref="O2:Q42" xr:uid="{D7BD960D-9CEA-4120-B2E3-2AE0D4661093}">
      <formula1>1</formula1>
      <formula2>1000</formula2>
    </dataValidation>
    <dataValidation allowBlank="1" showInputMessage="1" showErrorMessage="1" promptTitle="Note" prompt="The content of this column will be ignored during the Jira import." sqref="AJ2:AJ42" xr:uid="{2DA3EDB6-7635-4349-8860-B614B5B71275}"/>
    <dataValidation allowBlank="1" showInputMessage="1" showErrorMessage="1" promptTitle="Permissions" prompt="Updating Existing Issues requires global admin permissions" sqref="D2:D42" xr:uid="{D5E4A4BB-53C8-42DF-9B52-F5E00AC6407B}"/>
    <dataValidation type="whole" allowBlank="1" showErrorMessage="1" promptTitle="Warning" prompt="Use the Issue ID value to link this work item to an Epic_x000a__x000a_Story Issues are not Child-Issues and should have Epic Link instead. " sqref="M2:M42" xr:uid="{16C14239-D6AA-4935-8809-57760481D8F1}">
      <formula1>1</formula1>
      <formula2>1000</formula2>
    </dataValidation>
    <dataValidation allowBlank="1" showInputMessage="1" showErrorMessage="1" error="must be a valid fixversion" promptTitle="AUTOMATIC FIELD" prompt="Do not manually edit these!" sqref="AC2:AC42 AF1:AH42" xr:uid="{893DA5FE-9FD0-4D28-BBD0-3D7AEDECEACB}"/>
    <dataValidation type="list" allowBlank="1" showInputMessage="1" showErrorMessage="1" error="must be a valid component" sqref="H2:H42" xr:uid="{65EDED96-6789-400B-B504-6BC3F5A79E70}">
      <formula1>INDIRECT("CfgComponents[Component.Name]")</formula1>
    </dataValidation>
    <dataValidation type="list" errorStyle="warning" allowBlank="1" showErrorMessage="1" error="must be a valid fixversion" sqref="G2:G42" xr:uid="{44FDC20A-8BF5-49B5-9D2C-3A1FE5A7D835}">
      <formula1>INDIRECT("CfgAssignees[Assignee.Name]")</formula1>
    </dataValidation>
    <dataValidation type="list" allowBlank="1" showInputMessage="1" showErrorMessage="1" error="must be a valid component" sqref="I2:I42" xr:uid="{A898E2E7-BC45-4B88-BA1E-4AAA377361D4}">
      <formula1>INDIRECT("CfgSprints[Sprint.Name]")</formula1>
    </dataValidation>
    <dataValidation allowBlank="1" showInputMessage="1" showErrorMessage="1" error="must be a valid fixversion" promptTitle="Creation Marker (Config Sheet)" prompt="Do not manually edit these!" sqref="AD1:AD42 AE2:AE42" xr:uid="{412C516D-E091-4DDD-9C14-C33AC653C143}"/>
    <dataValidation allowBlank="1" showInputMessage="1" showErrorMessage="1" error="must be a valid fixversion" promptTitle="Feature Pod Label (Config Sheet)" prompt="Do not manually edit these!" sqref="AE1" xr:uid="{D2234141-379F-4413-AB08-6835BD9FF967}"/>
    <dataValidation allowBlank="1" showInputMessage="1" showErrorMessage="1" error="must be a valid fixversion" promptTitle="AUTOMATIC FIELD" prompt="Do not manually edit these! SKIP types won't be imported into Jira" sqref="AI1:AI42" xr:uid="{5A336857-7D14-4900-8734-BED680BE5154}"/>
    <dataValidation type="list" allowBlank="1" showInputMessage="1" showErrorMessage="1" promptTitle="Issue Type" sqref="B2:B42" xr:uid="{28BF52BF-C0B0-4D22-B02F-F1408D5A055B}">
      <formula1>INDIRECT("CfgIssueTypeList")</formula1>
    </dataValidation>
    <dataValidation type="list" allowBlank="1" showInputMessage="1" showErrorMessage="1" error="must be a valid fixversion" sqref="F2:F42" xr:uid="{7708D6E2-1D6B-41D8-A9EE-0E87219BA8EA}">
      <formula1>INDIRECT("CfgFixVersions[FixVersion.Name]")</formula1>
    </dataValidation>
    <dataValidation type="list" allowBlank="1" showInputMessage="1" showErrorMessage="1" sqref="A2:A42" xr:uid="{5EEBB8D5-878D-4D0E-9267-0919B5A1B925}">
      <formula1>INDIRECT("CfgPriorities[Priority.Name]")</formula1>
    </dataValidation>
  </dataValidations>
  <pageMargins left="0.7" right="0.7" top="0.75" bottom="0.75" header="0.3" footer="0.3"/>
  <pageSetup orientation="portrait" r:id="rId1"/>
  <ignoredErrors>
    <ignoredError sqref="F2 F3:F42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2041-F0A8-4316-8A34-4E1FD221500B}">
  <dimension ref="A1:E12"/>
  <sheetViews>
    <sheetView workbookViewId="0">
      <selection activeCell="A2" sqref="A2"/>
    </sheetView>
  </sheetViews>
  <sheetFormatPr defaultRowHeight="15" x14ac:dyDescent="0.25"/>
  <cols>
    <col min="1" max="1" width="18.42578125" bestFit="1" customWidth="1"/>
    <col min="2" max="2" width="6.5703125" bestFit="1" customWidth="1"/>
    <col min="4" max="4" width="13.7109375" bestFit="1" customWidth="1"/>
    <col min="5" max="5" width="7" bestFit="1" customWidth="1"/>
    <col min="6" max="6" width="11.28515625" bestFit="1" customWidth="1"/>
  </cols>
  <sheetData>
    <row r="1" spans="1:5" x14ac:dyDescent="0.25">
      <c r="A1" t="s">
        <v>179</v>
      </c>
    </row>
    <row r="3" spans="1:5" x14ac:dyDescent="0.25">
      <c r="D3" s="13" t="s">
        <v>5</v>
      </c>
      <c r="E3" t="s">
        <v>145</v>
      </c>
    </row>
    <row r="4" spans="1:5" x14ac:dyDescent="0.25">
      <c r="A4" t="s">
        <v>144</v>
      </c>
      <c r="D4" t="s">
        <v>146</v>
      </c>
    </row>
    <row r="5" spans="1:5" x14ac:dyDescent="0.25">
      <c r="A5" s="13" t="s">
        <v>140</v>
      </c>
      <c r="B5" t="s">
        <v>143</v>
      </c>
      <c r="D5" s="13" t="s">
        <v>140</v>
      </c>
      <c r="E5" t="s">
        <v>143</v>
      </c>
    </row>
    <row r="6" spans="1:5" x14ac:dyDescent="0.25">
      <c r="A6" s="14" t="s">
        <v>142</v>
      </c>
      <c r="B6">
        <v>1</v>
      </c>
      <c r="D6" s="14" t="s">
        <v>41</v>
      </c>
      <c r="E6">
        <v>1</v>
      </c>
    </row>
    <row r="7" spans="1:5" x14ac:dyDescent="0.25">
      <c r="A7" s="15" t="s">
        <v>142</v>
      </c>
      <c r="B7">
        <v>1</v>
      </c>
      <c r="D7" s="15" t="s">
        <v>148</v>
      </c>
      <c r="E7">
        <v>1</v>
      </c>
    </row>
    <row r="8" spans="1:5" x14ac:dyDescent="0.25">
      <c r="A8" s="16" t="s">
        <v>33</v>
      </c>
      <c r="B8">
        <v>1</v>
      </c>
      <c r="D8" s="14" t="s">
        <v>33</v>
      </c>
      <c r="E8">
        <v>1</v>
      </c>
    </row>
    <row r="9" spans="1:5" x14ac:dyDescent="0.25">
      <c r="A9" s="14" t="s">
        <v>158</v>
      </c>
      <c r="B9">
        <v>1</v>
      </c>
      <c r="D9" s="15" t="s">
        <v>142</v>
      </c>
      <c r="E9">
        <v>1</v>
      </c>
    </row>
    <row r="10" spans="1:5" x14ac:dyDescent="0.25">
      <c r="A10" s="15" t="s">
        <v>159</v>
      </c>
      <c r="B10">
        <v>1</v>
      </c>
      <c r="D10" s="14" t="s">
        <v>141</v>
      </c>
      <c r="E10">
        <v>2</v>
      </c>
    </row>
    <row r="11" spans="1:5" x14ac:dyDescent="0.25">
      <c r="A11" s="16" t="s">
        <v>41</v>
      </c>
      <c r="B11">
        <v>1</v>
      </c>
    </row>
    <row r="12" spans="1:5" x14ac:dyDescent="0.25">
      <c r="A12" s="14" t="s">
        <v>141</v>
      </c>
      <c r="B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19F2-1354-4FE0-BE15-5F30C578B62D}">
  <sheetPr>
    <tabColor rgb="FF7030A0"/>
  </sheetPr>
  <dimension ref="A1:C45"/>
  <sheetViews>
    <sheetView workbookViewId="0">
      <selection activeCell="C16" sqref="C16"/>
    </sheetView>
  </sheetViews>
  <sheetFormatPr defaultRowHeight="15" x14ac:dyDescent="0.25"/>
  <cols>
    <col min="1" max="1" width="21.5703125" customWidth="1"/>
    <col min="2" max="2" width="7.5703125" bestFit="1" customWidth="1"/>
    <col min="3" max="3" width="138.85546875" bestFit="1" customWidth="1"/>
  </cols>
  <sheetData>
    <row r="1" spans="1:3" ht="21" x14ac:dyDescent="0.35">
      <c r="A1" s="18" t="s">
        <v>128</v>
      </c>
      <c r="B1" s="18"/>
      <c r="C1" s="18"/>
    </row>
    <row r="2" spans="1:3" x14ac:dyDescent="0.25">
      <c r="A2" t="s">
        <v>127</v>
      </c>
      <c r="B2" s="17"/>
      <c r="C2" t="str">
        <f>_xlfn.CONCAT("Configuration version ", _xlfn.XLOOKUP("metadata.version", CfgSettings[Name], CfgSettings[Value]))</f>
        <v>Configuration version 8</v>
      </c>
    </row>
    <row r="3" spans="1:3" x14ac:dyDescent="0.25">
      <c r="A3" t="s">
        <v>130</v>
      </c>
      <c r="B3" s="17"/>
      <c r="C3" s="12" t="s">
        <v>132</v>
      </c>
    </row>
    <row r="4" spans="1:3" x14ac:dyDescent="0.25">
      <c r="A4" t="s">
        <v>135</v>
      </c>
      <c r="B4" s="17"/>
      <c r="C4" s="12" t="s">
        <v>136</v>
      </c>
    </row>
    <row r="5" spans="1:3" x14ac:dyDescent="0.25">
      <c r="A5" t="s">
        <v>133</v>
      </c>
      <c r="B5" s="17"/>
      <c r="C5" s="12" t="s">
        <v>134</v>
      </c>
    </row>
    <row r="6" spans="1:3" x14ac:dyDescent="0.25">
      <c r="A6" t="s">
        <v>129</v>
      </c>
      <c r="B6" s="17"/>
      <c r="C6" s="12" t="s">
        <v>131</v>
      </c>
    </row>
    <row r="7" spans="1:3" x14ac:dyDescent="0.25">
      <c r="A7" t="s">
        <v>137</v>
      </c>
      <c r="B7" s="17"/>
      <c r="C7" s="12" t="s">
        <v>138</v>
      </c>
    </row>
    <row r="8" spans="1:3" x14ac:dyDescent="0.25">
      <c r="B8" s="17"/>
      <c r="C8" s="12"/>
    </row>
    <row r="9" spans="1:3" x14ac:dyDescent="0.25">
      <c r="A9" t="s">
        <v>165</v>
      </c>
      <c r="B9" s="17">
        <v>1</v>
      </c>
      <c r="C9" t="s">
        <v>166</v>
      </c>
    </row>
    <row r="10" spans="1:3" x14ac:dyDescent="0.25">
      <c r="B10" s="17"/>
      <c r="C10" t="s">
        <v>167</v>
      </c>
    </row>
    <row r="11" spans="1:3" x14ac:dyDescent="0.25">
      <c r="B11" s="17">
        <v>2</v>
      </c>
      <c r="C11" t="s">
        <v>168</v>
      </c>
    </row>
    <row r="12" spans="1:3" x14ac:dyDescent="0.25">
      <c r="B12" s="17"/>
      <c r="C12" t="s">
        <v>169</v>
      </c>
    </row>
    <row r="13" spans="1:3" x14ac:dyDescent="0.25">
      <c r="B13" s="17"/>
    </row>
    <row r="14" spans="1:3" x14ac:dyDescent="0.25">
      <c r="B14" s="17"/>
    </row>
    <row r="15" spans="1:3" x14ac:dyDescent="0.25">
      <c r="B15" s="17"/>
    </row>
    <row r="16" spans="1:3" x14ac:dyDescent="0.25">
      <c r="B16" s="17"/>
    </row>
    <row r="17" spans="1:3" x14ac:dyDescent="0.25">
      <c r="B17" s="17"/>
    </row>
    <row r="19" spans="1:3" ht="21" x14ac:dyDescent="0.35">
      <c r="A19" s="18" t="s">
        <v>103</v>
      </c>
      <c r="B19" s="18"/>
      <c r="C19" s="18"/>
    </row>
    <row r="21" spans="1:3" x14ac:dyDescent="0.25">
      <c r="A21" t="s">
        <v>51</v>
      </c>
      <c r="B21" t="s">
        <v>96</v>
      </c>
      <c r="C21" t="s">
        <v>4</v>
      </c>
    </row>
    <row r="22" spans="1:3" x14ac:dyDescent="0.25">
      <c r="A22" s="11" t="s">
        <v>104</v>
      </c>
      <c r="B22" s="11" t="s">
        <v>102</v>
      </c>
      <c r="C22" s="11" t="s">
        <v>105</v>
      </c>
    </row>
    <row r="23" spans="1:3" x14ac:dyDescent="0.25">
      <c r="A23" s="12" t="str">
        <f>HYPERLINK("#CfgBasic","CfgBasic")</f>
        <v>CfgBasic</v>
      </c>
      <c r="B23" t="s">
        <v>118</v>
      </c>
      <c r="C23" t="s">
        <v>120</v>
      </c>
    </row>
    <row r="24" spans="1:3" x14ac:dyDescent="0.25">
      <c r="A24" s="11" t="s">
        <v>106</v>
      </c>
      <c r="B24" s="11" t="s">
        <v>102</v>
      </c>
      <c r="C24" s="11" t="s">
        <v>107</v>
      </c>
    </row>
    <row r="25" spans="1:3" x14ac:dyDescent="0.25">
      <c r="A25" s="12" t="str">
        <f>HYPERLINK("#CfgAssignees", "CfgAssignees")</f>
        <v>CfgAssignees</v>
      </c>
      <c r="B25" t="s">
        <v>118</v>
      </c>
      <c r="C25" t="s">
        <v>147</v>
      </c>
    </row>
    <row r="26" spans="1:3" x14ac:dyDescent="0.25">
      <c r="A26" s="12" t="str">
        <f>HYPERLINK("#CfgSprints","CfgSprints")</f>
        <v>CfgSprints</v>
      </c>
      <c r="B26" t="s">
        <v>118</v>
      </c>
      <c r="C26" t="s">
        <v>108</v>
      </c>
    </row>
    <row r="27" spans="1:3" x14ac:dyDescent="0.25">
      <c r="A27" s="12" t="str">
        <f>HYPERLINK("#CfgFixVersions","CfgFixVersions")</f>
        <v>CfgFixVersions</v>
      </c>
      <c r="B27" t="s">
        <v>118</v>
      </c>
      <c r="C27" t="s">
        <v>121</v>
      </c>
    </row>
    <row r="28" spans="1:3" x14ac:dyDescent="0.25">
      <c r="A28" s="12" t="str">
        <f>HYPERLINK("#CfgIssueTypes","CfgIssueTypes")</f>
        <v>CfgIssueTypes</v>
      </c>
      <c r="B28" t="s">
        <v>118</v>
      </c>
      <c r="C28" t="s">
        <v>122</v>
      </c>
    </row>
    <row r="29" spans="1:3" x14ac:dyDescent="0.25">
      <c r="A29" s="12" t="str">
        <f>HYPERLINK("#CfgComponents","CfgComponents")</f>
        <v>CfgComponents</v>
      </c>
      <c r="B29" t="s">
        <v>118</v>
      </c>
      <c r="C29" t="s">
        <v>123</v>
      </c>
    </row>
    <row r="30" spans="1:3" x14ac:dyDescent="0.25">
      <c r="A30" s="12" t="str">
        <f>HYPERLINK("#CfgPriorities","CfgPriorities")</f>
        <v>CfgPriorities</v>
      </c>
      <c r="B30" t="s">
        <v>118</v>
      </c>
      <c r="C30" t="s">
        <v>124</v>
      </c>
    </row>
    <row r="31" spans="1:3" x14ac:dyDescent="0.25">
      <c r="A31" s="11" t="s">
        <v>109</v>
      </c>
      <c r="B31" s="11" t="s">
        <v>102</v>
      </c>
      <c r="C31" s="11" t="s">
        <v>170</v>
      </c>
    </row>
    <row r="32" spans="1:3" x14ac:dyDescent="0.25">
      <c r="A32" s="12" t="str">
        <f>HYPERLINK("#CfgAdvanced","CfgAdvanced")</f>
        <v>CfgAdvanced</v>
      </c>
      <c r="B32" t="s">
        <v>118</v>
      </c>
      <c r="C32" t="s">
        <v>110</v>
      </c>
    </row>
    <row r="33" spans="1:3" x14ac:dyDescent="0.25">
      <c r="A33" s="12" t="str">
        <f>HYPERLINK("#CfgCustomFields","CfgCustomFields")</f>
        <v>CfgCustomFields</v>
      </c>
      <c r="B33" t="s">
        <v>118</v>
      </c>
      <c r="C33" t="s">
        <v>112</v>
      </c>
    </row>
    <row r="34" spans="1:3" x14ac:dyDescent="0.25">
      <c r="A34" s="11" t="s">
        <v>113</v>
      </c>
      <c r="B34" s="11" t="s">
        <v>102</v>
      </c>
      <c r="C34" s="11" t="s">
        <v>116</v>
      </c>
    </row>
    <row r="35" spans="1:3" x14ac:dyDescent="0.25">
      <c r="A35" s="12" t="str">
        <f>HYPERLINK("#CfgSettings","CfgSettings")</f>
        <v>CfgSettings</v>
      </c>
      <c r="B35" t="s">
        <v>118</v>
      </c>
      <c r="C35" t="s">
        <v>114</v>
      </c>
    </row>
    <row r="36" spans="1:3" x14ac:dyDescent="0.25">
      <c r="A36" s="12" t="str">
        <f>HYPERLINK("#CfgAutofieldValues","CfgAutofieldValues")</f>
        <v>CfgAutofieldValues</v>
      </c>
      <c r="B36" t="s">
        <v>118</v>
      </c>
      <c r="C36" t="s">
        <v>115</v>
      </c>
    </row>
    <row r="37" spans="1:3" x14ac:dyDescent="0.25">
      <c r="A37" t="s">
        <v>59</v>
      </c>
      <c r="B37" t="s">
        <v>119</v>
      </c>
      <c r="C37" t="s">
        <v>117</v>
      </c>
    </row>
    <row r="38" spans="1:3" x14ac:dyDescent="0.25">
      <c r="A38" s="12" t="str">
        <f>HYPERLINK("#cfg_type_note","cfg_type_note")</f>
        <v>cfg_type_note</v>
      </c>
      <c r="B38" t="s">
        <v>118</v>
      </c>
      <c r="C38" t="s">
        <v>111</v>
      </c>
    </row>
    <row r="45" spans="1:3" x14ac:dyDescent="0.25">
      <c r="C45" t="s">
        <v>125</v>
      </c>
    </row>
  </sheetData>
  <mergeCells count="2">
    <mergeCell ref="A19:C19"/>
    <mergeCell ref="A1:C1"/>
  </mergeCells>
  <hyperlinks>
    <hyperlink ref="C3" r:id="rId1" xr:uid="{90733036-6E88-4FE6-A3EE-A797BC8A38E1}"/>
    <hyperlink ref="C6" r:id="rId2" xr:uid="{C5ABFB18-81D6-4652-AF5D-B8CBB3BD2CAB}"/>
    <hyperlink ref="C4" r:id="rId3" display="https://github.com/DeerHide/jira-toolkit?tab=MIT-1-ov-file" xr:uid="{22A37903-DF41-4BEC-97A2-F9FAF4A20D55}"/>
    <hyperlink ref="C7" r:id="rId4" xr:uid="{60C66227-14CA-45CA-8C50-4C2272A965F9}"/>
  </hyperlinks>
  <pageMargins left="0.7" right="0.7" top="0.75" bottom="0.75" header="0.3" footer="0.3"/>
  <pageSetup orientation="portrait" r:id="rId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59B8-3AE8-4BEE-9365-0E278F01D5DF}">
  <sheetPr>
    <tabColor theme="5" tint="-0.499984740745262"/>
  </sheetPr>
  <dimension ref="A1:G7"/>
  <sheetViews>
    <sheetView workbookViewId="0">
      <selection activeCell="E5" sqref="E5"/>
    </sheetView>
  </sheetViews>
  <sheetFormatPr defaultRowHeight="15" x14ac:dyDescent="0.25"/>
  <cols>
    <col min="1" max="1" width="44.7109375" customWidth="1"/>
    <col min="2" max="2" width="38" customWidth="1"/>
    <col min="3" max="3" width="44.7109375" customWidth="1"/>
    <col min="5" max="5" width="44.7109375" customWidth="1"/>
    <col min="6" max="6" width="38" customWidth="1"/>
    <col min="7" max="7" width="44.7109375" customWidth="1"/>
  </cols>
  <sheetData>
    <row r="1" spans="1:7" ht="21" x14ac:dyDescent="0.35">
      <c r="A1" s="18" t="s">
        <v>98</v>
      </c>
      <c r="B1" s="18"/>
      <c r="C1" s="18"/>
      <c r="E1" s="18" t="s">
        <v>175</v>
      </c>
      <c r="F1" s="18"/>
      <c r="G1" s="18"/>
    </row>
    <row r="2" spans="1:7" x14ac:dyDescent="0.25">
      <c r="A2" s="19" t="s">
        <v>98</v>
      </c>
      <c r="B2" s="19"/>
      <c r="C2" s="8"/>
      <c r="E2" s="19" t="s">
        <v>176</v>
      </c>
      <c r="F2" s="19"/>
      <c r="G2" s="19"/>
    </row>
    <row r="3" spans="1:7" x14ac:dyDescent="0.25">
      <c r="A3" t="s">
        <v>51</v>
      </c>
      <c r="B3" t="s">
        <v>52</v>
      </c>
      <c r="C3" t="s">
        <v>33</v>
      </c>
      <c r="E3" t="s">
        <v>51</v>
      </c>
      <c r="F3" t="s">
        <v>52</v>
      </c>
      <c r="G3" t="s">
        <v>33</v>
      </c>
    </row>
    <row r="4" spans="1:7" x14ac:dyDescent="0.25">
      <c r="A4" t="s">
        <v>126</v>
      </c>
      <c r="B4" t="s">
        <v>77</v>
      </c>
      <c r="C4" s="7" t="s">
        <v>92</v>
      </c>
      <c r="E4" t="s">
        <v>48</v>
      </c>
      <c r="F4" t="s">
        <v>39</v>
      </c>
      <c r="G4" s="7" t="s">
        <v>67</v>
      </c>
    </row>
    <row r="5" spans="1:7" x14ac:dyDescent="0.25">
      <c r="A5" t="s">
        <v>48</v>
      </c>
      <c r="B5" t="s">
        <v>39</v>
      </c>
      <c r="C5" s="7" t="s">
        <v>67</v>
      </c>
      <c r="E5" t="s">
        <v>177</v>
      </c>
      <c r="F5" t="s">
        <v>80</v>
      </c>
      <c r="G5" s="7" t="s">
        <v>68</v>
      </c>
    </row>
    <row r="6" spans="1:7" x14ac:dyDescent="0.25">
      <c r="A6" t="s">
        <v>45</v>
      </c>
      <c r="B6" t="s">
        <v>80</v>
      </c>
      <c r="C6" s="7" t="s">
        <v>68</v>
      </c>
    </row>
    <row r="7" spans="1:7" x14ac:dyDescent="0.25">
      <c r="A7" t="s">
        <v>83</v>
      </c>
      <c r="B7" t="s">
        <v>84</v>
      </c>
      <c r="C7" s="7"/>
    </row>
  </sheetData>
  <mergeCells count="4">
    <mergeCell ref="A1:C1"/>
    <mergeCell ref="A2:B2"/>
    <mergeCell ref="E1:G1"/>
    <mergeCell ref="E2:G2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6160-D4DD-4A02-AEF5-852C4FDDA1AB}">
  <sheetPr>
    <tabColor theme="5" tint="-0.249977111117893"/>
  </sheetPr>
  <dimension ref="A1:M32"/>
  <sheetViews>
    <sheetView topLeftCell="B1" workbookViewId="0">
      <selection activeCell="G26" sqref="G26"/>
    </sheetView>
  </sheetViews>
  <sheetFormatPr defaultRowHeight="15" x14ac:dyDescent="0.25"/>
  <cols>
    <col min="1" max="1" width="29.7109375" customWidth="1"/>
    <col min="2" max="2" width="49" bestFit="1" customWidth="1"/>
    <col min="4" max="4" width="29.7109375" customWidth="1"/>
    <col min="5" max="5" width="49" bestFit="1" customWidth="1"/>
    <col min="7" max="8" width="18.7109375" customWidth="1"/>
    <col min="10" max="10" width="20.140625" bestFit="1" customWidth="1"/>
    <col min="12" max="12" width="18.5703125" customWidth="1"/>
    <col min="13" max="13" width="18" bestFit="1" customWidth="1"/>
    <col min="16" max="16" width="18.7109375" customWidth="1"/>
  </cols>
  <sheetData>
    <row r="1" spans="1:13" ht="21" x14ac:dyDescent="0.35">
      <c r="A1" s="18" t="s">
        <v>64</v>
      </c>
      <c r="B1" s="18"/>
      <c r="D1" s="18" t="s">
        <v>171</v>
      </c>
      <c r="E1" s="18"/>
      <c r="G1" s="18" t="s">
        <v>65</v>
      </c>
      <c r="H1" s="18"/>
      <c r="J1" s="6" t="s">
        <v>54</v>
      </c>
      <c r="L1" s="6" t="s">
        <v>49</v>
      </c>
    </row>
    <row r="2" spans="1:13" x14ac:dyDescent="0.25">
      <c r="A2" s="19" t="s">
        <v>69</v>
      </c>
      <c r="B2" s="19"/>
      <c r="D2" s="19" t="s">
        <v>69</v>
      </c>
      <c r="E2" s="19"/>
      <c r="G2" s="19" t="s">
        <v>70</v>
      </c>
      <c r="H2" s="19"/>
      <c r="J2" s="10" t="s">
        <v>71</v>
      </c>
      <c r="L2" s="9" t="s">
        <v>73</v>
      </c>
    </row>
    <row r="3" spans="1:13" x14ac:dyDescent="0.25">
      <c r="A3" t="s">
        <v>6</v>
      </c>
      <c r="B3" t="s">
        <v>55</v>
      </c>
      <c r="D3" t="s">
        <v>172</v>
      </c>
      <c r="E3" t="s">
        <v>173</v>
      </c>
      <c r="G3" t="s">
        <v>56</v>
      </c>
      <c r="H3" t="s">
        <v>57</v>
      </c>
      <c r="J3" t="s">
        <v>61</v>
      </c>
      <c r="L3" t="s">
        <v>59</v>
      </c>
      <c r="M3" t="s">
        <v>174</v>
      </c>
    </row>
    <row r="4" spans="1:13" x14ac:dyDescent="0.25">
      <c r="A4" t="s">
        <v>148</v>
      </c>
      <c r="B4" t="s">
        <v>153</v>
      </c>
      <c r="D4" t="s">
        <v>148</v>
      </c>
      <c r="E4" t="s">
        <v>153</v>
      </c>
      <c r="J4" t="s">
        <v>158</v>
      </c>
      <c r="L4" t="s">
        <v>38</v>
      </c>
      <c r="M4">
        <v>3</v>
      </c>
    </row>
    <row r="5" spans="1:13" x14ac:dyDescent="0.25">
      <c r="A5" t="s">
        <v>149</v>
      </c>
      <c r="B5" t="s">
        <v>154</v>
      </c>
      <c r="D5" t="s">
        <v>149</v>
      </c>
      <c r="E5" t="s">
        <v>154</v>
      </c>
      <c r="J5" t="s">
        <v>180</v>
      </c>
      <c r="L5" t="s">
        <v>36</v>
      </c>
      <c r="M5">
        <v>3</v>
      </c>
    </row>
    <row r="6" spans="1:13" x14ac:dyDescent="0.25">
      <c r="A6" t="s">
        <v>150</v>
      </c>
      <c r="B6" t="s">
        <v>155</v>
      </c>
      <c r="D6" t="s">
        <v>150</v>
      </c>
      <c r="E6" t="s">
        <v>155</v>
      </c>
      <c r="G6" s="2"/>
      <c r="H6" s="2"/>
      <c r="J6" t="s">
        <v>181</v>
      </c>
      <c r="L6" t="s">
        <v>40</v>
      </c>
      <c r="M6">
        <v>3</v>
      </c>
    </row>
    <row r="7" spans="1:13" x14ac:dyDescent="0.25">
      <c r="A7" t="s">
        <v>151</v>
      </c>
      <c r="B7" t="s">
        <v>156</v>
      </c>
      <c r="D7" t="s">
        <v>151</v>
      </c>
      <c r="E7" t="s">
        <v>156</v>
      </c>
      <c r="G7" s="2"/>
      <c r="H7" s="2"/>
      <c r="L7" t="s">
        <v>41</v>
      </c>
      <c r="M7">
        <v>2</v>
      </c>
    </row>
    <row r="8" spans="1:13" x14ac:dyDescent="0.25">
      <c r="A8" t="s">
        <v>152</v>
      </c>
      <c r="B8" t="s">
        <v>157</v>
      </c>
      <c r="D8" t="s">
        <v>152</v>
      </c>
      <c r="E8" t="s">
        <v>157</v>
      </c>
      <c r="G8" s="2"/>
      <c r="H8" s="2"/>
      <c r="L8" t="s">
        <v>82</v>
      </c>
      <c r="M8">
        <v>4</v>
      </c>
    </row>
    <row r="9" spans="1:13" x14ac:dyDescent="0.25">
      <c r="G9" s="2"/>
      <c r="H9" s="2"/>
      <c r="L9" t="s">
        <v>182</v>
      </c>
      <c r="M9">
        <v>1</v>
      </c>
    </row>
    <row r="10" spans="1:13" x14ac:dyDescent="0.25">
      <c r="G10" s="2"/>
      <c r="H10" s="2"/>
    </row>
    <row r="11" spans="1:13" x14ac:dyDescent="0.25">
      <c r="G11" s="2"/>
      <c r="H11" s="2"/>
    </row>
    <row r="12" spans="1:13" x14ac:dyDescent="0.25">
      <c r="G12" s="2"/>
      <c r="H12" s="2"/>
    </row>
    <row r="13" spans="1:13" x14ac:dyDescent="0.25">
      <c r="G13" s="2"/>
      <c r="H13" s="2"/>
    </row>
    <row r="14" spans="1:13" x14ac:dyDescent="0.25">
      <c r="G14" s="2"/>
      <c r="H14" s="2"/>
    </row>
    <row r="15" spans="1:13" x14ac:dyDescent="0.25">
      <c r="G15" s="2"/>
      <c r="H15" s="2"/>
    </row>
    <row r="16" spans="1:13" x14ac:dyDescent="0.25">
      <c r="G16" s="2"/>
      <c r="H16" s="2"/>
    </row>
    <row r="17" spans="7:12" x14ac:dyDescent="0.25">
      <c r="G17" s="2"/>
      <c r="H17" s="2"/>
    </row>
    <row r="18" spans="7:12" x14ac:dyDescent="0.25">
      <c r="G18" s="2"/>
      <c r="H18" s="2"/>
    </row>
    <row r="19" spans="7:12" x14ac:dyDescent="0.25">
      <c r="G19" s="2"/>
      <c r="H19" s="2"/>
    </row>
    <row r="20" spans="7:12" ht="21" x14ac:dyDescent="0.35">
      <c r="G20" s="2"/>
      <c r="H20" s="2"/>
      <c r="J20" s="6" t="s">
        <v>53</v>
      </c>
      <c r="L20" s="6" t="s">
        <v>50</v>
      </c>
    </row>
    <row r="21" spans="7:12" x14ac:dyDescent="0.25">
      <c r="J21" s="9" t="s">
        <v>72</v>
      </c>
      <c r="L21" s="9" t="s">
        <v>75</v>
      </c>
    </row>
    <row r="22" spans="7:12" x14ac:dyDescent="0.25">
      <c r="J22" t="s">
        <v>60</v>
      </c>
      <c r="L22" t="s">
        <v>58</v>
      </c>
    </row>
    <row r="23" spans="7:12" x14ac:dyDescent="0.25">
      <c r="J23" t="s">
        <v>269</v>
      </c>
      <c r="L23" s="1" t="s">
        <v>37</v>
      </c>
    </row>
    <row r="24" spans="7:12" x14ac:dyDescent="0.25">
      <c r="J24" t="s">
        <v>270</v>
      </c>
      <c r="L24" s="1" t="s">
        <v>46</v>
      </c>
    </row>
    <row r="25" spans="7:12" x14ac:dyDescent="0.25">
      <c r="J25" t="s">
        <v>271</v>
      </c>
      <c r="L25" s="1" t="s">
        <v>81</v>
      </c>
    </row>
    <row r="26" spans="7:12" x14ac:dyDescent="0.25">
      <c r="J26" t="s">
        <v>272</v>
      </c>
      <c r="L26" s="1" t="s">
        <v>89</v>
      </c>
    </row>
    <row r="27" spans="7:12" x14ac:dyDescent="0.25">
      <c r="J27" t="s">
        <v>275</v>
      </c>
      <c r="L27" s="1" t="s">
        <v>90</v>
      </c>
    </row>
    <row r="28" spans="7:12" x14ac:dyDescent="0.25">
      <c r="J28" t="s">
        <v>273</v>
      </c>
      <c r="L28" s="1" t="s">
        <v>47</v>
      </c>
    </row>
    <row r="29" spans="7:12" x14ac:dyDescent="0.25">
      <c r="J29" t="s">
        <v>278</v>
      </c>
    </row>
    <row r="30" spans="7:12" x14ac:dyDescent="0.25">
      <c r="J30" t="s">
        <v>274</v>
      </c>
    </row>
    <row r="31" spans="7:12" x14ac:dyDescent="0.25">
      <c r="J31" t="s">
        <v>276</v>
      </c>
    </row>
    <row r="32" spans="7:12" x14ac:dyDescent="0.25">
      <c r="J32" t="s">
        <v>277</v>
      </c>
    </row>
  </sheetData>
  <mergeCells count="6">
    <mergeCell ref="A1:B1"/>
    <mergeCell ref="A2:B2"/>
    <mergeCell ref="G1:H1"/>
    <mergeCell ref="G2:H2"/>
    <mergeCell ref="D1:E1"/>
    <mergeCell ref="D2:E2"/>
  </mergeCells>
  <phoneticPr fontId="18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70B6-7634-447C-A6F1-6703396BEFBB}">
  <sheetPr>
    <tabColor theme="5" tint="0.39997558519241921"/>
  </sheetPr>
  <dimension ref="A1:H5"/>
  <sheetViews>
    <sheetView workbookViewId="0">
      <selection activeCell="B4" sqref="B4"/>
    </sheetView>
  </sheetViews>
  <sheetFormatPr defaultRowHeight="15" x14ac:dyDescent="0.25"/>
  <cols>
    <col min="1" max="1" width="44.7109375" customWidth="1"/>
    <col min="2" max="2" width="38" customWidth="1"/>
    <col min="3" max="3" width="44.7109375" customWidth="1"/>
    <col min="5" max="8" width="17.140625" customWidth="1"/>
  </cols>
  <sheetData>
    <row r="1" spans="1:8" ht="21" x14ac:dyDescent="0.35">
      <c r="A1" s="18" t="s">
        <v>79</v>
      </c>
      <c r="B1" s="18"/>
      <c r="C1" s="18"/>
      <c r="E1" s="18" t="s">
        <v>99</v>
      </c>
      <c r="F1" s="18"/>
      <c r="G1" s="18"/>
      <c r="H1" s="18"/>
    </row>
    <row r="2" spans="1:8" x14ac:dyDescent="0.25">
      <c r="A2" s="19"/>
      <c r="B2" s="19"/>
      <c r="C2" s="8"/>
      <c r="E2" s="7"/>
      <c r="F2" s="7"/>
      <c r="G2" s="7"/>
      <c r="H2" s="7"/>
    </row>
    <row r="3" spans="1:8" x14ac:dyDescent="0.25">
      <c r="A3" t="s">
        <v>51</v>
      </c>
      <c r="B3" t="s">
        <v>52</v>
      </c>
      <c r="C3" t="s">
        <v>33</v>
      </c>
      <c r="E3" t="s">
        <v>51</v>
      </c>
      <c r="F3" t="s">
        <v>95</v>
      </c>
      <c r="G3" t="s">
        <v>96</v>
      </c>
      <c r="H3" t="s">
        <v>97</v>
      </c>
    </row>
    <row r="4" spans="1:8" x14ac:dyDescent="0.25">
      <c r="A4" t="s">
        <v>85</v>
      </c>
      <c r="B4" t="s">
        <v>86</v>
      </c>
      <c r="C4" s="7" t="s">
        <v>91</v>
      </c>
    </row>
    <row r="5" spans="1:8" x14ac:dyDescent="0.25">
      <c r="A5" t="s">
        <v>87</v>
      </c>
      <c r="B5" t="s">
        <v>88</v>
      </c>
      <c r="C5" s="7" t="s">
        <v>139</v>
      </c>
    </row>
  </sheetData>
  <mergeCells count="3">
    <mergeCell ref="E1:H1"/>
    <mergeCell ref="A1:C1"/>
    <mergeCell ref="A2:B2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FFE4-B6EA-4EE3-9951-97FB176AB35C}">
  <sheetPr>
    <tabColor rgb="FFC00000"/>
  </sheetPr>
  <dimension ref="A1:I21"/>
  <sheetViews>
    <sheetView workbookViewId="0">
      <selection activeCell="G55" sqref="G55"/>
    </sheetView>
  </sheetViews>
  <sheetFormatPr defaultRowHeight="15" x14ac:dyDescent="0.25"/>
  <cols>
    <col min="1" max="1" width="22.28515625" bestFit="1" customWidth="1"/>
    <col min="3" max="3" width="16.5703125" bestFit="1" customWidth="1"/>
    <col min="4" max="4" width="35.140625" bestFit="1" customWidth="1"/>
    <col min="6" max="6" width="16.5703125" bestFit="1" customWidth="1"/>
    <col min="9" max="9" width="32.42578125" bestFit="1" customWidth="1"/>
  </cols>
  <sheetData>
    <row r="1" spans="1:9" ht="21" x14ac:dyDescent="0.35">
      <c r="A1" s="6" t="s">
        <v>66</v>
      </c>
      <c r="C1" s="18" t="s">
        <v>94</v>
      </c>
      <c r="D1" s="18"/>
      <c r="F1" s="18" t="s">
        <v>101</v>
      </c>
      <c r="G1" s="18"/>
      <c r="I1" s="6" t="s">
        <v>62</v>
      </c>
    </row>
    <row r="2" spans="1:9" x14ac:dyDescent="0.25">
      <c r="A2" s="8" t="s">
        <v>76</v>
      </c>
      <c r="I2" s="8" t="s">
        <v>74</v>
      </c>
    </row>
    <row r="3" spans="1:9" x14ac:dyDescent="0.25">
      <c r="A3" s="5" t="s">
        <v>59</v>
      </c>
      <c r="C3" t="s">
        <v>51</v>
      </c>
      <c r="D3" t="s">
        <v>52</v>
      </c>
      <c r="F3" t="s">
        <v>51</v>
      </c>
      <c r="G3" t="s">
        <v>52</v>
      </c>
      <c r="I3" t="s">
        <v>63</v>
      </c>
    </row>
    <row r="4" spans="1:9" x14ac:dyDescent="0.25">
      <c r="A4" t="str" cm="1">
        <f t="array" aca="1" ref="A4:A13" ca="1">_xlfn.UNIQUE((_xlfn.VSTACK(INDIRECT("CfgIssueTypes[IssueType.Name]"),INDIRECT("CfgIgnoreList[IgnoreList.Name]"))))</f>
        <v>Story</v>
      </c>
      <c r="C4" t="s">
        <v>93</v>
      </c>
      <c r="D4">
        <v>8</v>
      </c>
      <c r="I4" t="s">
        <v>34</v>
      </c>
    </row>
    <row r="5" spans="1:9" x14ac:dyDescent="0.25">
      <c r="A5" t="str">
        <f ca="1"/>
        <v>Task</v>
      </c>
      <c r="C5" t="s">
        <v>100</v>
      </c>
      <c r="D5" t="str" cm="1">
        <f t="array" aca="1" ref="D5" ca="1">"[" &amp; _xlfn.TEXTJOIN(",",TRUE,_xlfn.MAP(_xlfn._xlws.FILTER(INDIRECT("CfgIgnoreList[IgnoreList.Name]"),INDIRECT("CfgIgnoreList[IgnoreList.Name]")&lt;&gt;""),_xlfn.LAMBDA(_xlpm.x,"""" &amp; SUBSTITUTE(_xlpm.x,"""","""""") &amp; """"))) &amp; "]"</f>
        <v>["Comment","Skip","Note","WorkItem"]</v>
      </c>
      <c r="I5" t="s">
        <v>43</v>
      </c>
    </row>
    <row r="6" spans="1:9" x14ac:dyDescent="0.25">
      <c r="A6" t="str">
        <f ca="1"/>
        <v>Bug</v>
      </c>
      <c r="I6" t="s">
        <v>33</v>
      </c>
    </row>
    <row r="7" spans="1:9" x14ac:dyDescent="0.25">
      <c r="A7" t="str">
        <f ca="1"/>
        <v>Epic</v>
      </c>
      <c r="I7" t="s">
        <v>44</v>
      </c>
    </row>
    <row r="8" spans="1:9" x14ac:dyDescent="0.25">
      <c r="A8" t="str">
        <f ca="1"/>
        <v>Sub-task</v>
      </c>
    </row>
    <row r="9" spans="1:9" x14ac:dyDescent="0.25">
      <c r="A9" t="str">
        <f ca="1"/>
        <v>Initiative</v>
      </c>
    </row>
    <row r="10" spans="1:9" x14ac:dyDescent="0.25">
      <c r="A10" t="str">
        <f ca="1"/>
        <v>Comment</v>
      </c>
    </row>
    <row r="11" spans="1:9" x14ac:dyDescent="0.25">
      <c r="A11" t="str">
        <f ca="1"/>
        <v>Skip</v>
      </c>
    </row>
    <row r="12" spans="1:9" x14ac:dyDescent="0.25">
      <c r="A12" t="str">
        <f ca="1"/>
        <v>Note</v>
      </c>
    </row>
    <row r="13" spans="1:9" ht="21" x14ac:dyDescent="0.35">
      <c r="A13" t="str">
        <f ca="1"/>
        <v>WorkItem</v>
      </c>
      <c r="C13" s="18" t="s">
        <v>163</v>
      </c>
      <c r="D13" s="18"/>
      <c r="E13" s="18"/>
      <c r="F13" s="18"/>
      <c r="G13" s="18"/>
    </row>
    <row r="14" spans="1:9" x14ac:dyDescent="0.25">
      <c r="C14" s="20" t="s">
        <v>164</v>
      </c>
      <c r="D14" s="20"/>
      <c r="E14" s="20"/>
      <c r="F14" s="20"/>
      <c r="G14" s="20"/>
    </row>
    <row r="15" spans="1:9" x14ac:dyDescent="0.25">
      <c r="C15" t="str" cm="1">
        <f t="array" aca="1" ref="C15:E21" ca="1">_xlfn.UNIQUE(
    (
        _xlfn.VSTACK(
            INDIRECT("CfgBasic"),
            INDIRECT("CfgAdvanced"),
            INDIRECT("CfgAutofieldValues")
        )
    )
)</f>
        <v>jira.project.key</v>
      </c>
      <c r="D15" t="str">
        <f ca="1"/>
        <v>JITTP2</v>
      </c>
      <c r="E15" t="str">
        <f ca="1"/>
        <v>The project Key of the Jira project (mendatory for API imports</v>
      </c>
    </row>
    <row r="16" spans="1:9" x14ac:dyDescent="0.25">
      <c r="C16" t="str">
        <f ca="1"/>
        <v>Creation Marker</v>
      </c>
      <c r="D16" t="str">
        <f ca="1"/>
        <v>imported</v>
      </c>
      <c r="E16" t="str">
        <f ca="1"/>
        <v>A label added to all imported task to flag them in Jira</v>
      </c>
    </row>
    <row r="17" spans="3:5" x14ac:dyDescent="0.25">
      <c r="C17" t="str">
        <f ca="1"/>
        <v>Feature Pod Label</v>
      </c>
      <c r="D17" t="str">
        <f ca="1"/>
        <v>pod_test</v>
      </c>
      <c r="E17" t="str">
        <f ca="1"/>
        <v>Appropirate label for the feature pod when relevant</v>
      </c>
    </row>
    <row r="18" spans="3:5" x14ac:dyDescent="0.25">
      <c r="C18" t="str">
        <f ca="1"/>
        <v>jira.connection.site_address</v>
      </c>
      <c r="D18" t="str">
        <f ca="1"/>
        <v>https://deerhide.atlassian.net</v>
      </c>
      <c r="E18">
        <f ca="1"/>
        <v>0</v>
      </c>
    </row>
    <row r="19" spans="3:5" x14ac:dyDescent="0.25">
      <c r="C19" t="str">
        <f ca="1"/>
        <v>app.import.auto_open_page</v>
      </c>
      <c r="D19" t="str">
        <f ca="1"/>
        <v>yes</v>
      </c>
      <c r="E19" t="str">
        <f ca="1"/>
        <v>Open the import page after processing the dataset?</v>
      </c>
    </row>
    <row r="20" spans="3:5" x14ac:dyDescent="0.25">
      <c r="C20" t="str">
        <f ca="1"/>
        <v>jira.components_source</v>
      </c>
      <c r="D20" t="str">
        <f ca="1"/>
        <v>jira</v>
      </c>
      <c r="E20" t="str">
        <f ca="1"/>
        <v>Use Jira or Compass components</v>
      </c>
    </row>
    <row r="21" spans="3:5" x14ac:dyDescent="0.25">
      <c r="C21">
        <f ca="1"/>
        <v>0</v>
      </c>
      <c r="D21">
        <f ca="1"/>
        <v>0</v>
      </c>
      <c r="E21" t="e">
        <f ca="1"/>
        <v>#N/A</v>
      </c>
    </row>
  </sheetData>
  <mergeCells count="4">
    <mergeCell ref="C1:D1"/>
    <mergeCell ref="F1:G1"/>
    <mergeCell ref="C13:G13"/>
    <mergeCell ref="C14:G14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C1C1-4176-48E9-A3A3-F5EE6A4A55A5}">
  <sheetPr>
    <tabColor theme="9" tint="0.3999755851924192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E542-D6DF-43D8-A37B-0533192CF1B9}">
  <sheetPr>
    <tabColor theme="9" tint="0.3999755851924192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1fd26-9765-4fbe-b6fd-c17c1e55c974">
      <Terms xmlns="http://schemas.microsoft.com/office/infopath/2007/PartnerControls"/>
    </lcf76f155ced4ddcb4097134ff3c332f>
    <TaxCatchAll xmlns="9df69692-83aa-4c55-88c1-62abad05f4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038601AF41D04A88A4BD446922F1A8" ma:contentTypeVersion="15" ma:contentTypeDescription="Create a new document." ma:contentTypeScope="" ma:versionID="e8d32171d27ae41230d53456f24efae5">
  <xsd:schema xmlns:xsd="http://www.w3.org/2001/XMLSchema" xmlns:xs="http://www.w3.org/2001/XMLSchema" xmlns:p="http://schemas.microsoft.com/office/2006/metadata/properties" xmlns:ns2="c471fd26-9765-4fbe-b6fd-c17c1e55c974" xmlns:ns3="9df69692-83aa-4c55-88c1-62abad05f4fe" targetNamespace="http://schemas.microsoft.com/office/2006/metadata/properties" ma:root="true" ma:fieldsID="1f2fb84de5621acf32f385a2ba90fb29" ns2:_="" ns3:_="">
    <xsd:import namespace="c471fd26-9765-4fbe-b6fd-c17c1e55c974"/>
    <xsd:import namespace="9df69692-83aa-4c55-88c1-62abad05f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1fd26-9765-4fbe-b6fd-c17c1e55c9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9cd79a3-f605-49ec-b3bf-026e101358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69692-83aa-4c55-88c1-62abad05f4f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a6cf1a7-3894-43e8-8094-3feccbd66ed9}" ma:internalName="TaxCatchAll" ma:showField="CatchAllData" ma:web="9df69692-83aa-4c55-88c1-62abad05f4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FE630F-6530-4863-AB67-8477539A0000}">
  <ds:schemaRefs>
    <ds:schemaRef ds:uri="http://schemas.microsoft.com/office/2006/metadata/properties"/>
    <ds:schemaRef ds:uri="http://schemas.microsoft.com/office/infopath/2007/PartnerControls"/>
    <ds:schemaRef ds:uri="c471fd26-9765-4fbe-b6fd-c17c1e55c974"/>
    <ds:schemaRef ds:uri="9df69692-83aa-4c55-88c1-62abad05f4fe"/>
  </ds:schemaRefs>
</ds:datastoreItem>
</file>

<file path=customXml/itemProps2.xml><?xml version="1.0" encoding="utf-8"?>
<ds:datastoreItem xmlns:ds="http://schemas.openxmlformats.org/officeDocument/2006/customXml" ds:itemID="{2C983B91-58B3-4C2C-AC55-FFEC9F0DB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1fd26-9765-4fbe-b6fd-c17c1e55c974"/>
    <ds:schemaRef ds:uri="9df69692-83aa-4c55-88c1-62abad05f4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6C3F15-3876-4FBB-8F24-692088DE8D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Dataset</vt:lpstr>
      <vt:lpstr>Quick Analysis</vt:lpstr>
      <vt:lpstr>Help</vt:lpstr>
      <vt:lpstr>Config - Basic</vt:lpstr>
      <vt:lpstr>Config - Mappings</vt:lpstr>
      <vt:lpstr>Config - Advanced</vt:lpstr>
      <vt:lpstr>Config - Factory</vt:lpstr>
      <vt:lpstr>_importMeta</vt:lpstr>
      <vt:lpstr>_ImportReport</vt:lpstr>
      <vt:lpstr>cfg_labels_ft_label</vt:lpstr>
      <vt:lpstr>cfg_labels_ft_name</vt:lpstr>
      <vt:lpstr>cfg_labels_imported</vt:lpstr>
      <vt:lpstr>cfg_projectKey</vt:lpstr>
      <vt:lpstr>cfg_type_comment</vt:lpstr>
      <vt:lpstr>cfg_type_note</vt:lpstr>
      <vt:lpstr>cfg_type_skip</vt:lpstr>
      <vt:lpstr>cfg_type_workitem</vt:lpstr>
      <vt:lpstr>CfgIssueTypeList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Tom_48_97</dc:creator>
  <cp:keywords/>
  <dc:description/>
  <cp:lastModifiedBy>Julien Vida</cp:lastModifiedBy>
  <cp:revision/>
  <dcterms:created xsi:type="dcterms:W3CDTF">2024-11-14T18:58:36Z</dcterms:created>
  <dcterms:modified xsi:type="dcterms:W3CDTF">2026-08-08T23:41:36Z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0x010100FB038601AF41D04A88A4BD446922F1A8</vt:lpwstr>
  </property>
</Properties>
</file>